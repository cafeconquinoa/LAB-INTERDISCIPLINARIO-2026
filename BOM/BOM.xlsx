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mvercellinok_udd_cl/Documents/"/>
    </mc:Choice>
  </mc:AlternateContent>
  <xr:revisionPtr revIDLastSave="0" documentId="8_{8B05EB6D-D84C-4743-8388-46CDC6AD33A2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Instrucciones" sheetId="1" r:id="rId1"/>
    <sheet name="BOM" sheetId="2" r:id="rId2"/>
    <sheet name="Trazabilidad" sheetId="3" r:id="rId3"/>
    <sheet name="Resumen" sheetId="4" r:id="rId4"/>
    <sheet name="Historial" sheetId="5" r:id="rId5"/>
    <sheet name="Listas" sheetId="6" r:id="rId6"/>
  </sheets>
  <definedNames>
    <definedName name="_xlnm._FilterDatabase" localSheetId="1" hidden="1">BOM!$A$8:$Q$165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4" i="2" l="1"/>
  <c r="E15" i="3"/>
  <c r="C5" i="4"/>
  <c r="C4" i="4"/>
  <c r="L27" i="2"/>
  <c r="E9" i="4"/>
  <c r="B9" i="4"/>
  <c r="E8" i="4"/>
  <c r="B8" i="4"/>
  <c r="E7" i="4"/>
  <c r="B7" i="4"/>
  <c r="E6" i="4"/>
  <c r="C6" i="4"/>
  <c r="E5" i="4"/>
  <c r="E4" i="4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D17" i="3"/>
  <c r="F17" i="3" s="1"/>
  <c r="F16" i="3"/>
  <c r="F15" i="3"/>
  <c r="E13" i="3"/>
  <c r="D13" i="3"/>
  <c r="F13" i="3" s="1"/>
  <c r="E12" i="3"/>
  <c r="D12" i="3"/>
  <c r="F12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P165" i="2"/>
  <c r="L165" i="2"/>
  <c r="P164" i="2"/>
  <c r="L164" i="2"/>
  <c r="P163" i="2"/>
  <c r="L163" i="2"/>
  <c r="P162" i="2"/>
  <c r="L162" i="2"/>
  <c r="P161" i="2"/>
  <c r="L161" i="2"/>
  <c r="P160" i="2"/>
  <c r="L160" i="2"/>
  <c r="P159" i="2"/>
  <c r="L159" i="2"/>
  <c r="P158" i="2"/>
  <c r="L158" i="2"/>
  <c r="P157" i="2"/>
  <c r="L157" i="2"/>
  <c r="P156" i="2"/>
  <c r="L156" i="2"/>
  <c r="P155" i="2"/>
  <c r="L155" i="2"/>
  <c r="P154" i="2"/>
  <c r="L154" i="2"/>
  <c r="P153" i="2"/>
  <c r="L153" i="2"/>
  <c r="P152" i="2"/>
  <c r="L152" i="2"/>
  <c r="P151" i="2"/>
  <c r="L151" i="2"/>
  <c r="P150" i="2"/>
  <c r="L150" i="2"/>
  <c r="P149" i="2"/>
  <c r="L149" i="2"/>
  <c r="P148" i="2"/>
  <c r="L148" i="2"/>
  <c r="P147" i="2"/>
  <c r="L147" i="2"/>
  <c r="P146" i="2"/>
  <c r="L146" i="2"/>
  <c r="P145" i="2"/>
  <c r="L145" i="2"/>
  <c r="P144" i="2"/>
  <c r="L144" i="2"/>
  <c r="P143" i="2"/>
  <c r="L143" i="2"/>
  <c r="P142" i="2"/>
  <c r="L142" i="2"/>
  <c r="P141" i="2"/>
  <c r="L141" i="2"/>
  <c r="P140" i="2"/>
  <c r="L140" i="2"/>
  <c r="P139" i="2"/>
  <c r="L139" i="2"/>
  <c r="P138" i="2"/>
  <c r="L138" i="2"/>
  <c r="P137" i="2"/>
  <c r="L137" i="2"/>
  <c r="P136" i="2"/>
  <c r="L136" i="2"/>
  <c r="P135" i="2"/>
  <c r="L135" i="2"/>
  <c r="P134" i="2"/>
  <c r="L134" i="2"/>
  <c r="P133" i="2"/>
  <c r="L133" i="2"/>
  <c r="P132" i="2"/>
  <c r="L132" i="2"/>
  <c r="P131" i="2"/>
  <c r="L131" i="2"/>
  <c r="P130" i="2"/>
  <c r="L130" i="2"/>
  <c r="P129" i="2"/>
  <c r="L129" i="2"/>
  <c r="P128" i="2"/>
  <c r="L128" i="2"/>
  <c r="P127" i="2"/>
  <c r="L127" i="2"/>
  <c r="P126" i="2"/>
  <c r="L126" i="2"/>
  <c r="P125" i="2"/>
  <c r="L125" i="2"/>
  <c r="P124" i="2"/>
  <c r="L124" i="2"/>
  <c r="P123" i="2"/>
  <c r="L123" i="2"/>
  <c r="P122" i="2"/>
  <c r="L122" i="2"/>
  <c r="P121" i="2"/>
  <c r="L121" i="2"/>
  <c r="P120" i="2"/>
  <c r="L120" i="2"/>
  <c r="P119" i="2"/>
  <c r="L119" i="2"/>
  <c r="P118" i="2"/>
  <c r="L118" i="2"/>
  <c r="P117" i="2"/>
  <c r="L117" i="2"/>
  <c r="P116" i="2"/>
  <c r="L116" i="2"/>
  <c r="P115" i="2"/>
  <c r="L115" i="2"/>
  <c r="P114" i="2"/>
  <c r="L114" i="2"/>
  <c r="P113" i="2"/>
  <c r="L113" i="2"/>
  <c r="P112" i="2"/>
  <c r="L112" i="2"/>
  <c r="P111" i="2"/>
  <c r="L111" i="2"/>
  <c r="P110" i="2"/>
  <c r="L110" i="2"/>
  <c r="P109" i="2"/>
  <c r="L109" i="2"/>
  <c r="P108" i="2"/>
  <c r="L108" i="2"/>
  <c r="P107" i="2"/>
  <c r="L107" i="2"/>
  <c r="P106" i="2"/>
  <c r="L106" i="2"/>
  <c r="P105" i="2"/>
  <c r="L105" i="2"/>
  <c r="P104" i="2"/>
  <c r="L104" i="2"/>
  <c r="P103" i="2"/>
  <c r="L103" i="2"/>
  <c r="P102" i="2"/>
  <c r="L102" i="2"/>
  <c r="P101" i="2"/>
  <c r="L101" i="2"/>
  <c r="P100" i="2"/>
  <c r="L100" i="2"/>
  <c r="P99" i="2"/>
  <c r="L99" i="2"/>
  <c r="P98" i="2"/>
  <c r="L98" i="2"/>
  <c r="P97" i="2"/>
  <c r="L97" i="2"/>
  <c r="P96" i="2"/>
  <c r="L96" i="2"/>
  <c r="P95" i="2"/>
  <c r="L95" i="2"/>
  <c r="P94" i="2"/>
  <c r="L94" i="2"/>
  <c r="P93" i="2"/>
  <c r="L93" i="2"/>
  <c r="P92" i="2"/>
  <c r="L92" i="2"/>
  <c r="P91" i="2"/>
  <c r="L91" i="2"/>
  <c r="P90" i="2"/>
  <c r="L90" i="2"/>
  <c r="P89" i="2"/>
  <c r="L89" i="2"/>
  <c r="P88" i="2"/>
  <c r="L88" i="2"/>
  <c r="P87" i="2"/>
  <c r="L87" i="2"/>
  <c r="P86" i="2"/>
  <c r="L86" i="2"/>
  <c r="P85" i="2"/>
  <c r="L85" i="2"/>
  <c r="P84" i="2"/>
  <c r="L84" i="2"/>
  <c r="P83" i="2"/>
  <c r="L83" i="2"/>
  <c r="P82" i="2"/>
  <c r="L82" i="2"/>
  <c r="P81" i="2"/>
  <c r="L81" i="2"/>
  <c r="P80" i="2"/>
  <c r="L80" i="2"/>
  <c r="P79" i="2"/>
  <c r="L79" i="2"/>
  <c r="P78" i="2"/>
  <c r="L78" i="2"/>
  <c r="P77" i="2"/>
  <c r="L77" i="2"/>
  <c r="P76" i="2"/>
  <c r="L76" i="2"/>
  <c r="P75" i="2"/>
  <c r="L75" i="2"/>
  <c r="P74" i="2"/>
  <c r="L74" i="2"/>
  <c r="P73" i="2"/>
  <c r="L73" i="2"/>
  <c r="P72" i="2"/>
  <c r="L72" i="2"/>
  <c r="P71" i="2"/>
  <c r="L71" i="2"/>
  <c r="P70" i="2"/>
  <c r="L70" i="2"/>
  <c r="P69" i="2"/>
  <c r="L69" i="2"/>
  <c r="P68" i="2"/>
  <c r="L68" i="2"/>
  <c r="P67" i="2"/>
  <c r="L67" i="2"/>
  <c r="P66" i="2"/>
  <c r="L66" i="2"/>
  <c r="P65" i="2"/>
  <c r="L65" i="2"/>
  <c r="P64" i="2"/>
  <c r="L64" i="2"/>
  <c r="P63" i="2"/>
  <c r="L63" i="2"/>
  <c r="P62" i="2"/>
  <c r="L62" i="2"/>
  <c r="P61" i="2"/>
  <c r="L61" i="2"/>
  <c r="P60" i="2"/>
  <c r="L60" i="2"/>
  <c r="P59" i="2"/>
  <c r="L59" i="2"/>
  <c r="P58" i="2"/>
  <c r="L58" i="2"/>
  <c r="P57" i="2"/>
  <c r="L57" i="2"/>
  <c r="P56" i="2"/>
  <c r="L56" i="2"/>
  <c r="P55" i="2"/>
  <c r="L55" i="2"/>
  <c r="P54" i="2"/>
  <c r="L54" i="2"/>
  <c r="P53" i="2"/>
  <c r="L53" i="2"/>
  <c r="P52" i="2"/>
  <c r="L52" i="2"/>
  <c r="P51" i="2"/>
  <c r="L51" i="2"/>
  <c r="P50" i="2"/>
  <c r="L50" i="2"/>
  <c r="P49" i="2"/>
  <c r="L49" i="2"/>
  <c r="P48" i="2"/>
  <c r="L48" i="2"/>
  <c r="P47" i="2"/>
  <c r="L47" i="2"/>
  <c r="P46" i="2"/>
  <c r="L46" i="2"/>
  <c r="P45" i="2"/>
  <c r="L45" i="2"/>
  <c r="P44" i="2"/>
  <c r="L44" i="2"/>
  <c r="P43" i="2"/>
  <c r="L43" i="2"/>
  <c r="P42" i="2"/>
  <c r="L42" i="2"/>
  <c r="P41" i="2"/>
  <c r="L41" i="2"/>
  <c r="P40" i="2"/>
  <c r="L40" i="2"/>
  <c r="P39" i="2"/>
  <c r="L39" i="2"/>
  <c r="P38" i="2"/>
  <c r="L38" i="2"/>
  <c r="P37" i="2"/>
  <c r="L37" i="2"/>
  <c r="P36" i="2"/>
  <c r="L36" i="2"/>
  <c r="P35" i="2"/>
  <c r="L35" i="2"/>
  <c r="P34" i="2"/>
  <c r="L34" i="2"/>
  <c r="P33" i="2"/>
  <c r="L33" i="2"/>
  <c r="P32" i="2"/>
  <c r="L32" i="2"/>
  <c r="P31" i="2"/>
  <c r="L31" i="2"/>
  <c r="P30" i="2"/>
  <c r="L30" i="2"/>
  <c r="P29" i="2"/>
  <c r="L29" i="2"/>
  <c r="P28" i="2"/>
  <c r="P27" i="2"/>
  <c r="P26" i="2"/>
  <c r="L26" i="2"/>
  <c r="C7" i="4" s="1"/>
  <c r="P25" i="2"/>
  <c r="L25" i="2"/>
  <c r="P24" i="2"/>
  <c r="C8" i="4"/>
  <c r="E9" i="3"/>
  <c r="E8" i="3"/>
  <c r="E6" i="3"/>
  <c r="E5" i="3"/>
  <c r="F4" i="2"/>
  <c r="F3" i="2"/>
  <c r="F5" i="2" l="1"/>
  <c r="C10" i="4"/>
  <c r="D8" i="4" s="1"/>
  <c r="E10" i="4"/>
  <c r="B10" i="4"/>
  <c r="D5" i="4"/>
  <c r="E11" i="3"/>
  <c r="F2" i="2"/>
  <c r="E7" i="3"/>
  <c r="E10" i="3"/>
  <c r="D4" i="4" l="1"/>
  <c r="D7" i="4"/>
  <c r="D9" i="4"/>
  <c r="D6" i="4"/>
  <c r="D10" i="4" l="1"/>
</calcChain>
</file>

<file path=xl/sharedStrings.xml><?xml version="1.0" encoding="utf-8"?>
<sst xmlns="http://schemas.openxmlformats.org/spreadsheetml/2006/main" count="483" uniqueCount="321">
  <si>
    <t>Plantilla BOM · Bill of Materials</t>
  </si>
  <si>
    <t>Taller Integrado · Diseño + Ingeniería · ExploraTec UDD</t>
  </si>
  <si>
    <t>Regla de oro</t>
  </si>
  <si>
    <t>Otra persona debería entender qué comprar sin tener que preguntarle al diseñador.</t>
  </si>
  <si>
    <t>Leyenda</t>
  </si>
  <si>
    <t>Celda blanca</t>
  </si>
  <si>
    <t>Se completa a mano. Las columnas Subsistema, Unidad, Disponibilidad y Estado tienen lista desplegable.</t>
  </si>
  <si>
    <t>Celda gris</t>
  </si>
  <si>
    <t>Se calcula sola (fórmula). No editar.</t>
  </si>
  <si>
    <t>Celda amarilla</t>
  </si>
  <si>
    <t>Dato de encabezado del proyecto (nombre, equipo, versión, fecha).</t>
  </si>
  <si>
    <t>Texto azul</t>
  </si>
  <si>
    <t>Valor ingresado a mano que alimenta cálculos (cantidades y precios).</t>
  </si>
  <si>
    <t>Columnas del BOM</t>
  </si>
  <si>
    <t>ID</t>
  </si>
  <si>
    <t>Código único por ítem. Prefijo por subsistema: E electrónica · M mecánica · F fabricación · T terminaciones · A ensamblaje · O otros (E01, E02, M01…). No se reutiliza un ID eliminado.</t>
  </si>
  <si>
    <t>Subsistema</t>
  </si>
  <si>
    <t>Agrupa el BOM más allá de la electrónica y ayuda a repartir responsabilidades.</t>
  </si>
  <si>
    <t>Función (arquitectura)</t>
  </si>
  <si>
    <t>Qué función de la arquitectura cumple el ítem. Debe escribirse igual que en la hoja Trazabilidad.</t>
  </si>
  <si>
    <t>Componente</t>
  </si>
  <si>
    <t>Qué es, en términos genéricos (sensor ambiental, fuente, tornillo).</t>
  </si>
  <si>
    <t>Especificación</t>
  </si>
  <si>
    <t>Lo necesario para comprar sin preguntar: modelo, voltaje, medidas, material, norma (AHT10 I²C; M3 × 12 mm).</t>
  </si>
  <si>
    <t>Fabricante / MPN</t>
  </si>
  <si>
    <t>Marca y código de parte del fabricante, cuando exista.</t>
  </si>
  <si>
    <t>Cant. / Unidad</t>
  </si>
  <si>
    <t>Cantidad por prototipo y su unidad (un., m, m²…).</t>
  </si>
  <si>
    <t>Proveedor / Enlace</t>
  </si>
  <si>
    <t>Dónde se compra y enlace a la tienda o al datasheet.</t>
  </si>
  <si>
    <t>$ Unit. / $ Total</t>
  </si>
  <si>
    <t>Precio unitario en CLP con IVA; el total se calcula solo.</t>
  </si>
  <si>
    <t>Disponibilidad / Alternativa</t>
  </si>
  <si>
    <t>¿Existe localmente? ¿Qué lo reemplaza si no hay stock?</t>
  </si>
  <si>
    <t>Estado</t>
  </si>
  <si>
    <t>Avance de la compra: por cotizar → cotizado → comprado → recibido → instalado.</t>
  </si>
  <si>
    <t>Trazabilidad</t>
  </si>
  <si>
    <t>Se calcula sola: ✓ si la función existe en la hoja Trazabilidad; «Revisar» si no.</t>
  </si>
  <si>
    <t>Cómo versionar</t>
  </si>
  <si>
    <t>Guardar como BOM_v01, BOM_v02… y anotar cada cambio en la hoja Historial (qué cambió, por qué y su efecto en el costo). Si usan GitHub, subir el archivo en la carpeta 05_BOM.</t>
  </si>
  <si>
    <t>Todo ítem importante del BOM debe corresponder a una función de la arquitectura, y toda función física de la arquitectura debe tener al menos un ítem en el BOM.</t>
  </si>
  <si>
    <t>Datos de ejemplo</t>
  </si>
  <si>
    <t>Las filas precargadas usan el caso guía de la clase (estación ambiental). Los precios del ESP32, AHT10 y WS2812B son los valores referenciales de la presentación; el resto queda por cotizar. Borren las filas de ejemplo al usar la plantilla.</t>
  </si>
  <si>
    <t>BILL OF MATERIALS</t>
  </si>
  <si>
    <t>Proyecto</t>
  </si>
  <si>
    <t>Sistema de cortafuegos</t>
  </si>
  <si>
    <t>Costo total (CLP)</t>
  </si>
  <si>
    <t>Equipo</t>
  </si>
  <si>
    <t>Grupo 1</t>
  </si>
  <si>
    <t>N° de ítems</t>
  </si>
  <si>
    <t>Versión</t>
  </si>
  <si>
    <t>BOM_v01</t>
  </si>
  <si>
    <t>Ítems sin precio</t>
  </si>
  <si>
    <t>Fecha</t>
  </si>
  <si>
    <t>Ítems por revisar (trazab.)</t>
  </si>
  <si>
    <t>Cant.</t>
  </si>
  <si>
    <t>Unidad</t>
  </si>
  <si>
    <t>Proveedor</t>
  </si>
  <si>
    <t>Enlace (tienda o datasheet)</t>
  </si>
  <si>
    <t>$ Unit. (CLP)</t>
  </si>
  <si>
    <t>$ Total (CLP)</t>
  </si>
  <si>
    <t>Disponibilidad</t>
  </si>
  <si>
    <t>Alternativa / reemplazo</t>
  </si>
  <si>
    <t>Notas</t>
  </si>
  <si>
    <t>E01</t>
  </si>
  <si>
    <t>Electronica</t>
  </si>
  <si>
    <t>Procesar datos de sensores y transmitirlos al sistema de visualización</t>
  </si>
  <si>
    <t>Microcontrolador</t>
  </si>
  <si>
    <t>ESP32-S3 DevKitC-1 N8, 3,3 V, Wi-Fi/BLE, I²C/SPI/UART</t>
  </si>
  <si>
    <t>Espressif / ESP32-S3-DevKitC-1-N8</t>
  </si>
  <si>
    <t>un.</t>
  </si>
  <si>
    <t>MCI Electronics</t>
  </si>
  <si>
    <t>ESP32-S3 DevKitC-1 – MCI</t>
  </si>
  <si>
    <t>Disponible online y en tienda en Santiago (MCi Electronics)</t>
  </si>
  <si>
    <t>ESP32-S3 DevKit genérico</t>
  </si>
  <si>
    <t>Por cotizar</t>
  </si>
  <si>
    <t>Controlador principal</t>
  </si>
  <si>
    <t>E02</t>
  </si>
  <si>
    <t>Capturar imágenes visibles del entorno</t>
  </si>
  <si>
    <t>Cámara RGB</t>
  </si>
  <si>
    <t>ESP32-CAM con OV2640, 2 MP, alimentación 5 V</t>
  </si>
  <si>
    <t>Ai-Thinker / ESP32-CAM + OV2640</t>
  </si>
  <si>
    <t>https://mcielectronics.cl/shop/product/placa-esp32-cam-wifi-bluetooth/?srsltid=AU7gw4W94rWs7PVjKlXexxpIX6bHJRS4si8Lf07ZchWQecdAf2qFsncD</t>
  </si>
  <si>
    <t>Disponible localmente</t>
  </si>
  <si>
    <t>Webcam USB</t>
  </si>
  <si>
    <t>Puede operar como módulo independiente</t>
  </si>
  <si>
    <t>E04</t>
  </si>
  <si>
    <t>Medir temperatura y humedad ambiental</t>
  </si>
  <si>
    <t>Sensor ambiental</t>
  </si>
  <si>
    <t>BME280, I²C/SPI, temperatura, humedad y presión</t>
  </si>
  <si>
    <t>Bosch Sensortec / BME280</t>
  </si>
  <si>
    <t xml:space="preserve">Mercado Libre Chile </t>
  </si>
  <si>
    <t>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</t>
  </si>
  <si>
    <t>Disponible según stock local</t>
  </si>
  <si>
    <t>AHT10 o DHT22</t>
  </si>
  <si>
    <t>Un sensor resuelve T° y HR</t>
  </si>
  <si>
    <t>E05</t>
  </si>
  <si>
    <t>Medir temperatura del suelo</t>
  </si>
  <si>
    <t>Sensor de temperatura</t>
  </si>
  <si>
    <t>DS18B20 impermeable, sonda 1 m, interfaz 1-Wire</t>
  </si>
  <si>
    <t>Analog Devices / DS18B20</t>
  </si>
  <si>
    <t>https://mcielectronics.cl/shop/product/sensor-de-temperatura-ds18b20-resistente-al-agua-1m-25764/?srsltid=AU7gw4WZwf1L0XQYcBdMOXL9X34Z6bQr82x6fxE8vaW994y4tPfGMTAa</t>
  </si>
  <si>
    <t>Sonda NTC impermeable</t>
  </si>
  <si>
    <t>Se instala enterrado</t>
  </si>
  <si>
    <t>E06</t>
  </si>
  <si>
    <t>Medir humedad del suelo</t>
  </si>
  <si>
    <t>Sensor de humedad</t>
  </si>
  <si>
    <t>Sensor capacitivo V1.2, 3,3–5 V, salida analógica</t>
  </si>
  <si>
    <t>Genérico / Capacitive Soil Moisture Sensor V1.2</t>
  </si>
  <si>
    <t>https://mcielectronics.cl/shop/product/modulo-detector-de-humedad-del-suelo-30176/</t>
  </si>
  <si>
    <t>Habitualmente disponible</t>
  </si>
  <si>
    <t>Sensor capacitivo equivalente</t>
  </si>
  <si>
    <t>Evitar sensor resistivo por corrosión</t>
  </si>
  <si>
    <t>E07</t>
  </si>
  <si>
    <t>Indicar visualmente el estado del nodo</t>
  </si>
  <si>
    <t>Indicador luminoso</t>
  </si>
  <si>
    <t>LED RGB o módulo semáforo, 3 estados</t>
  </si>
  <si>
    <t>Genérico</t>
  </si>
  <si>
    <t>https://mcielectronics.cl/shop/product/pack-de-10-leds-blancos-de-alto-brillo-30077/?srsltid=AU7gw4UG6Y7tLSx50vH7om5Qx5yNkp2LlGM8TVFsr-ITvAUltLMXSfyU</t>
  </si>
  <si>
    <t>Alta disponibilidad</t>
  </si>
  <si>
    <t>3 LED individuales</t>
  </si>
  <si>
    <t>Verde / amarillo / rojo</t>
  </si>
  <si>
    <t>E08</t>
  </si>
  <si>
    <t>Emitir una alerta sonora ante una condición crítica</t>
  </si>
  <si>
    <t>Buzzer</t>
  </si>
  <si>
    <t>Buzzer activo, 5 V</t>
  </si>
  <si>
    <t>https://mcielectronics.cl/shop/product/buzzer-para-montar-en-pcb-12mm-2048khz-9738/</t>
  </si>
  <si>
    <t>Buzzer pasivo</t>
  </si>
  <si>
    <t>Activación comandada por ESP32</t>
  </si>
  <si>
    <t>E09</t>
  </si>
  <si>
    <t>Conectar los sensores al controlador</t>
  </si>
  <si>
    <t>Cables jumper</t>
  </si>
  <si>
    <t>Dupont M-M / M-H / H-H, paso 2,54 mm</t>
  </si>
  <si>
    <t>set</t>
  </si>
  <si>
    <t>https://mcielectronics.cl/shop/product/cable-dupont-macho-hembra-20cm-pack-40-unidades-2/</t>
  </si>
  <si>
    <t>Cable AWG22</t>
  </si>
  <si>
    <t>Para prototipo desmontable</t>
  </si>
  <si>
    <t>E10</t>
  </si>
  <si>
    <t>Montar temporalmente sensores y circuitos</t>
  </si>
  <si>
    <t>Protoboard</t>
  </si>
  <si>
    <t>400–830 puntos, paso 2,54 mm</t>
  </si>
  <si>
    <t>https://mcielectronics.cl/shop/product/protoboard-de-tamano-completo-830pts-mb-102-23380/</t>
  </si>
  <si>
    <t>Disponible</t>
  </si>
  <si>
    <t>PCB perforada</t>
  </si>
  <si>
    <t>Facilita pruebas</t>
  </si>
  <si>
    <t>E11</t>
  </si>
  <si>
    <t>Medir dirección del viento </t>
  </si>
  <si>
    <t>Sensor Dirección Viento</t>
  </si>
  <si>
    <t>YS-WDD01</t>
  </si>
  <si>
    <t>Mechatronics</t>
  </si>
  <si>
    <t>https://www.mechatronicstore.cl/sensor-direccion-viento-360-veleta/?srsltid=AU7gw4VERf0fJ80dP5bom8dB6vqQ-a4WRnv8fLOSzQEFsnf_RLw1xB3R</t>
  </si>
  <si>
    <t>E12</t>
  </si>
  <si>
    <t xml:space="preserve"> velocidad del viento</t>
  </si>
  <si>
    <t>Sensor De Velocidad Del Viento</t>
  </si>
  <si>
    <t> 0-70 M/s, Señal Ambiental</t>
  </si>
  <si>
    <t>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</t>
  </si>
  <si>
    <t>Gira físicamente pero no entrega lectura</t>
  </si>
  <si>
    <t>Medir acidez/alcalinidad del suelo </t>
  </si>
  <si>
    <t xml:space="preserve">Módulo Sensor de PH </t>
  </si>
  <si>
    <t>sensor PH 0-14 con sonda de electrodo BNC</t>
  </si>
  <si>
    <t>https://www.mechatronicstore.cl/kit-modulo-sensor-de-ph-sonda-de-electrodo-bnc-arduino/?srsltid=AU7gw4V7sdBYMTnshKrxj1kJ7x_0IbzAiwGk_GrUxE0CWf_J_SlPjB2JXl4</t>
  </si>
  <si>
    <t>E14</t>
  </si>
  <si>
    <t xml:space="preserve">Medir nitrógeno, fósforo y potasio </t>
  </si>
  <si>
    <t xml:space="preserve">Sensor NPK </t>
  </si>
  <si>
    <t>https://www.mechatronicstore.cl/sensor-de-suelo-npk-sn-3002/?srsltid=AU7gw4VoVMq4J2i0b4bbg58jUWbnq3R7MRkboDW-RPL8YMrZP7q7DUri</t>
  </si>
  <si>
    <t>S01</t>
  </si>
  <si>
    <t>Estructura</t>
  </si>
  <si>
    <t>Construir la base física de la maqueta</t>
  </si>
  <si>
    <t>MDF</t>
  </si>
  <si>
    <t>MDF natural, 3 mm, 400 × 400 mm</t>
  </si>
  <si>
    <t>Masisa / cód. tienda 39856X</t>
  </si>
  <si>
    <t>placa</t>
  </si>
  <si>
    <t>Sodimac</t>
  </si>
  <si>
    <t>MDF 3 mm 40×40 – Sodimac</t>
  </si>
  <si>
    <t>Disponible; la consulta muestra stock en RM</t>
  </si>
  <si>
    <t>MDF 5,5 mm</t>
  </si>
  <si>
    <t>Base principal de la maqueta</t>
  </si>
  <si>
    <t>S02</t>
  </si>
  <si>
    <t xml:space="preserve">Construcción del cortafuego </t>
  </si>
  <si>
    <t>PLA</t>
  </si>
  <si>
    <t>Filamento PLA+ Blanco 1kg Elegoo</t>
  </si>
  <si>
    <t>Diseño propio</t>
  </si>
  <si>
    <t>Impresión 3D UDD</t>
  </si>
  <si>
    <t xml:space="preserve">TodoToner </t>
  </si>
  <si>
    <t xml:space="preserve">Disponible </t>
  </si>
  <si>
    <t>TodoToner</t>
  </si>
  <si>
    <t>Infraestructura que va sobre la base principal de la maqueta</t>
  </si>
  <si>
    <t>Ensamblaje</t>
  </si>
  <si>
    <t>Union de la base fisica de la maqueta</t>
  </si>
  <si>
    <t>Agorex 90 cc</t>
  </si>
  <si>
    <t>Adhesivo transparente</t>
  </si>
  <si>
    <t>Agorex</t>
  </si>
  <si>
    <t>Unimarc</t>
  </si>
  <si>
    <t>https://www.unimarc.cl/product/adhesivo-transparente-agorex-90-cc?srsltid=AU7gw4Xv2WDgQ2t3T9DouW4i4AX8SKQCJzIlV9iFcBjj-bllzw7CG3OAbLs</t>
  </si>
  <si>
    <t>Disponible en Chile</t>
  </si>
  <si>
    <t>Ensamblaje de la maqueta</t>
  </si>
  <si>
    <t>Union de piezas de la maqueta</t>
  </si>
  <si>
    <t>Silicona caliente</t>
  </si>
  <si>
    <t>T01</t>
  </si>
  <si>
    <t>Terminaciones</t>
  </si>
  <si>
    <t>Recubrimiento para aplicaciones electricas</t>
  </si>
  <si>
    <t>Cinta aislante</t>
  </si>
  <si>
    <t>Aplicaciones eléctricas</t>
  </si>
  <si>
    <t>Tesa</t>
  </si>
  <si>
    <t>Easy</t>
  </si>
  <si>
    <t>https://www.easy.cl/cinta-aislante-18-mm-5-m-tesa-529109/p?idsku=6205&amp;gad_source=4&amp;gad_campaignid=24048792210&amp;gbraid=0AAAAAD6SqDmoWtcLn1ocfZbpmSEHbgXWX&amp;gclid=CjwKCAjww-3VBhAcEiwAwUUIu6eh6fpbJ3r0fkw53JyRF1vtsNJ7Rz_vnb95Tb1xfDKajWjxo94gyxoCTo0QAvD_BwE</t>
  </si>
  <si>
    <t>T02</t>
  </si>
  <si>
    <t>Terminaciones de pintura para detalles</t>
  </si>
  <si>
    <t>Set de pinturas acrilicas</t>
  </si>
  <si>
    <t>Set Acrílicos 12 Colores 12ml. Artel</t>
  </si>
  <si>
    <t>Artel</t>
  </si>
  <si>
    <t>Eltit</t>
  </si>
  <si>
    <t>https://super.eltit.cl/products/artel-acrilicos-12-un</t>
  </si>
  <si>
    <t>https://lamaqueteria.cl/producto/figuras-a-escala-1200-pack-30-uds/?srsltid=AU7gw4VJNCNeWCePSWJolCeVNQ6rBmkB4BRIKWUPsE0UmkNZNhRYkBCzpBk</t>
  </si>
  <si>
    <t>Trazabilidad arquitectura ↔ BOM</t>
  </si>
  <si>
    <t>Liste aquí las funciones de su arquitectura. Cada función física debería tener al menos un ítem en el BOM.</t>
  </si>
  <si>
    <t>Función</t>
  </si>
  <si>
    <t>Capa</t>
  </si>
  <si>
    <t>Descripción</t>
  </si>
  <si>
    <t>N° ítems en BOM</t>
  </si>
  <si>
    <t>Costo asociado (CLP)</t>
  </si>
  <si>
    <t>Medir temperatura y humedad</t>
  </si>
  <si>
    <t>3 Dispositivos</t>
  </si>
  <si>
    <t>Leer variables del entorno.</t>
  </si>
  <si>
    <t>Medir luz</t>
  </si>
  <si>
    <t>Leer la luminosidad del parque.</t>
  </si>
  <si>
    <t>Procesar y comunicar</t>
  </si>
  <si>
    <t>5 Procesamiento</t>
  </si>
  <si>
    <t>Leer sensores, decidir y enviar datos por Wi-Fi.</t>
  </si>
  <si>
    <t>Mostrar estado local</t>
  </si>
  <si>
    <t>2 Interacción</t>
  </si>
  <si>
    <t>Feedback visual al visitante, aun sin internet.</t>
  </si>
  <si>
    <t>Alimentar el sistema</t>
  </si>
  <si>
    <t>Entregar 5 V estables al ESP32 y la tira LED.</t>
  </si>
  <si>
    <t>Conectar componentes</t>
  </si>
  <si>
    <t>Cableado y conexiones entre partes.</t>
  </si>
  <si>
    <t>Sostener y proteger el dispositivo</t>
  </si>
  <si>
    <t>Estructura física</t>
  </si>
  <si>
    <t>Estructura y carcasa frente a lluvia y sol.</t>
  </si>
  <si>
    <t>Fijar al lugar</t>
  </si>
  <si>
    <t>Montaje en el parque (poste, muro, base).</t>
  </si>
  <si>
    <t>Registrar historial</t>
  </si>
  <si>
    <t>6 Información</t>
  </si>
  <si>
    <t>Base de datos en el servidor.</t>
  </si>
  <si>
    <t>FIN EJEMPLO</t>
  </si>
  <si>
    <t>Medir temperatura y humedad del ambiente mediante el sensor BME280.</t>
  </si>
  <si>
    <t>Medir el nivel de humedad presente en el suelo mediante un sensor capacitivo.</t>
  </si>
  <si>
    <t>Pendiente</t>
  </si>
  <si>
    <t>Medir la temperatura del suelo mediante el sensor DS18B20 impermeable.</t>
  </si>
  <si>
    <t>Detectar temperatura / focos calientes</t>
  </si>
  <si>
    <t>Detectar temperatura y posibles focos de calor mediante el sensor térmico MLX90614.</t>
  </si>
  <si>
    <t>Capturar imagen del entorno</t>
  </si>
  <si>
    <t>Capturar imágenes del entorno mediante la cámara RGB ESP32-CAM.</t>
  </si>
  <si>
    <t>Medir condiciones nutricionales del suelo</t>
  </si>
  <si>
    <t>Representar la medición de nutrientes NPK presentes en el suelo.</t>
  </si>
  <si>
    <t>Medir pH del suelo</t>
  </si>
  <si>
    <t>Representar la medición del nivel de pH del suelo.</t>
  </si>
  <si>
    <t>Medir conductividad del suelo</t>
  </si>
  <si>
    <t>Representar la medición de conductividad eléctrica del suelo.</t>
  </si>
  <si>
    <t>Medir velocidad del viento</t>
  </si>
  <si>
    <t>Medir y representar la velocidad del viento mediante un anemómetro.</t>
  </si>
  <si>
    <t>Medir dirección del viento</t>
  </si>
  <si>
    <t>Medir y representar la dirección del viento mediante una veleta.</t>
  </si>
  <si>
    <t>Determinar ubicación</t>
  </si>
  <si>
    <t>Representar la ubicación del sistema mediante un módulo GPS.</t>
  </si>
  <si>
    <t>Procesar y comunicar datos</t>
  </si>
  <si>
    <t>Recibir las mediciones de los sensores, procesarlas y transmitir los datos mediante el ESP32-S3 y conexión Wi-Fi.</t>
  </si>
  <si>
    <t>Entregar retroalimentación visual y sonora según las mediciones y estados detectados.</t>
  </si>
  <si>
    <t>Iluminar el entorno</t>
  </si>
  <si>
    <t>Proporcionar iluminación mediante una tira o sistema LED RGB / NeoPixel.</t>
  </si>
  <si>
    <t>Activar alerta visual</t>
  </si>
  <si>
    <t>Activar una señal visual mediante LED RGB o torre de alerta según los datos registrados.</t>
  </si>
  <si>
    <t>Activar alerta sonora</t>
  </si>
  <si>
    <t>Emitir una alerta sonora mediante un buzzer cuando se detecte una condición determinada.</t>
  </si>
  <si>
    <t>Representar datos en dashboard</t>
  </si>
  <si>
    <t>Enviar y visualizar los datos de sensores mediante un dashboard conectado por Wi-Fi.</t>
  </si>
  <si>
    <t>Proteger los componentes electrónicos</t>
  </si>
  <si>
    <t>Proteger sensores y componentes electrónicos mediante la carcasa del sistema IoT/NB.</t>
  </si>
  <si>
    <t>Sostener el sistema</t>
  </si>
  <si>
    <t>Sostener físicamente los sensores, componentes y elementos de interacción mediante la torre principal.</t>
  </si>
  <si>
    <t>Fijar el sistema al terreno</t>
  </si>
  <si>
    <t>Permitir el montaje y estabilidad de la torre y sus componentes sobre el terreno.</t>
  </si>
  <si>
    <t>Representar el territorio de interfaz</t>
  </si>
  <si>
    <t>Representar físicamente el territorio urbano-forestal donde se implementa el sistema.</t>
  </si>
  <si>
    <t>Resumen por subsistema</t>
  </si>
  <si>
    <t>N° ítems</t>
  </si>
  <si>
    <t>Costo (CLP)</t>
  </si>
  <si>
    <t>% del total</t>
  </si>
  <si>
    <t>Electrónica</t>
  </si>
  <si>
    <t>Mecánica / estructura</t>
  </si>
  <si>
    <t>Fabricación</t>
  </si>
  <si>
    <t>Según el proyecto</t>
  </si>
  <si>
    <t>Total</t>
  </si>
  <si>
    <t>El costo solo considera ítems con precio. Revise «Ítems sin precio» antes de presentar un presupuesto.</t>
  </si>
  <si>
    <t>Historial de versiones</t>
  </si>
  <si>
    <t>Autor</t>
  </si>
  <si>
    <t>Qué cambió</t>
  </si>
  <si>
    <t>Por qué</t>
  </si>
  <si>
    <t>Ítems afectados (ID)</t>
  </si>
  <si>
    <t>Efecto en costo (CLP)</t>
  </si>
  <si>
    <t>Primera versión a partir de la arquitectura mínima viable.</t>
  </si>
  <si>
    <t>Traducir las funciones de la arquitectura a componentes concretos.</t>
  </si>
  <si>
    <t>E01–M02</t>
  </si>
  <si>
    <t>1 Personas / contexto</t>
  </si>
  <si>
    <t>m</t>
  </si>
  <si>
    <t>Importación</t>
  </si>
  <si>
    <t>Cotizado</t>
  </si>
  <si>
    <t>m²</t>
  </si>
  <si>
    <t>Sin stock</t>
  </si>
  <si>
    <t>Comprado</t>
  </si>
  <si>
    <t>cm</t>
  </si>
  <si>
    <t>Por verificar</t>
  </si>
  <si>
    <t>Recibido</t>
  </si>
  <si>
    <t>4 Comunicación</t>
  </si>
  <si>
    <t>kg</t>
  </si>
  <si>
    <t>Instalado</t>
  </si>
  <si>
    <t>g</t>
  </si>
  <si>
    <t>Descartado</t>
  </si>
  <si>
    <t>ml</t>
  </si>
  <si>
    <t>7 Servicios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</si>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</sst>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-$&quot;#,##0;\-"/>
    <numFmt numFmtId="165" formatCode="0.0%;\-0.0%;\-"/>
  </numFmts>
  <fonts count="24">
    <font>
      <sz val="11"/>
      <color theme="1"/>
      <name val="Calibri"/>
      <family val="2"/>
      <charset val="1"/>
    </font>
    <font>
      <b/>
      <sz val="16"/>
      <color rgb="FF1614FF"/>
      <name val="Arial"/>
      <family val="2"/>
    </font>
    <font>
      <i/>
      <sz val="11"/>
      <color rgb="FF5A5A7A"/>
      <name val="Arial"/>
      <family val="2"/>
    </font>
    <font>
      <b/>
      <sz val="11"/>
      <name val="Arial"/>
      <family val="2"/>
    </font>
    <font>
      <b/>
      <sz val="11"/>
      <color rgb="FF1614FF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b/>
      <sz val="13"/>
      <color rgb="FF1614FF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u/>
      <sz val="10"/>
      <color theme="10"/>
      <name val="Calibri"/>
      <family val="2"/>
      <charset val="1"/>
    </font>
    <font>
      <sz val="8"/>
      <name val="Calibri"/>
      <family val="2"/>
      <charset val="1"/>
    </font>
    <font>
      <sz val="10"/>
      <name val="Calibri"/>
      <scheme val="minor"/>
    </font>
    <font>
      <sz val="10"/>
      <color rgb="FF000000"/>
      <name val="Arial"/>
      <scheme val="minor"/>
    </font>
    <font>
      <sz val="10"/>
      <color theme="1"/>
      <name val="Calibri"/>
      <scheme val="minor"/>
    </font>
    <font>
      <sz val="11"/>
      <color rgb="FF0000FF"/>
      <name val="Arial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FF"/>
      <name val="Arial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1614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 style="thin">
        <color rgb="FFC8C8DC"/>
      </left>
      <right style="thin">
        <color rgb="FFC8C8DC"/>
      </right>
      <top style="thin">
        <color rgb="FFC8C8DC"/>
      </top>
      <bottom style="thin">
        <color rgb="FFC8C8DC"/>
      </bottom>
      <diagonal/>
    </border>
    <border>
      <left style="thin">
        <color rgb="FFC8C8DC"/>
      </left>
      <right style="thin">
        <color rgb="FFC8C8DC"/>
      </right>
      <top style="thin">
        <color rgb="FFC8C8D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3" borderId="0" xfId="0" applyFont="1" applyFill="1"/>
    <xf numFmtId="164" fontId="7" fillId="2" borderId="0" xfId="0" applyNumberFormat="1" applyFont="1" applyFill="1"/>
    <xf numFmtId="0" fontId="6" fillId="2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6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164" fontId="6" fillId="2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8" fillId="4" borderId="1" xfId="0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vertical="top" wrapText="1"/>
    </xf>
    <xf numFmtId="0" fontId="8" fillId="4" borderId="0" xfId="0" applyFont="1" applyFill="1"/>
    <xf numFmtId="0" fontId="6" fillId="0" borderId="0" xfId="0" applyFont="1"/>
    <xf numFmtId="0" fontId="6" fillId="5" borderId="1" xfId="0" applyFont="1" applyFill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1" xfId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6" borderId="1" xfId="0" applyNumberFormat="1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14" fontId="6" fillId="3" borderId="0" xfId="0" applyNumberFormat="1" applyFont="1" applyFill="1" applyAlignment="1">
      <alignment horizontal="left"/>
    </xf>
    <xf numFmtId="14" fontId="6" fillId="0" borderId="1" xfId="0" applyNumberFormat="1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1" applyAlignment="1">
      <alignment wrapText="1"/>
    </xf>
    <xf numFmtId="0" fontId="9" fillId="0" borderId="0" xfId="1" applyBorder="1" applyAlignment="1">
      <alignment wrapText="1"/>
    </xf>
    <xf numFmtId="0" fontId="9" fillId="0" borderId="1" xfId="1" applyBorder="1" applyAlignment="1"/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/>
    </xf>
    <xf numFmtId="0" fontId="17" fillId="0" borderId="0" xfId="0" applyFont="1" applyAlignment="1">
      <alignment wrapText="1"/>
    </xf>
    <xf numFmtId="0" fontId="9" fillId="0" borderId="1" xfId="1" applyBorder="1" applyAlignment="1">
      <alignment vertical="top"/>
    </xf>
    <xf numFmtId="0" fontId="15" fillId="0" borderId="1" xfId="0" applyFont="1" applyBorder="1" applyAlignment="1">
      <alignment vertical="top" wrapText="1"/>
    </xf>
    <xf numFmtId="164" fontId="18" fillId="0" borderId="1" xfId="0" applyNumberFormat="1" applyFont="1" applyBorder="1" applyAlignment="1">
      <alignment vertical="top"/>
    </xf>
    <xf numFmtId="0" fontId="11" fillId="0" borderId="0" xfId="0" applyFont="1"/>
    <xf numFmtId="0" fontId="19" fillId="0" borderId="1" xfId="0" applyFont="1" applyBorder="1" applyAlignment="1">
      <alignment vertical="top"/>
    </xf>
    <xf numFmtId="0" fontId="13" fillId="0" borderId="1" xfId="1" applyFont="1" applyBorder="1" applyAlignment="1">
      <alignment vertical="top"/>
    </xf>
    <xf numFmtId="164" fontId="21" fillId="0" borderId="1" xfId="0" applyNumberFormat="1" applyFont="1" applyBorder="1" applyAlignment="1">
      <alignment vertical="top"/>
    </xf>
    <xf numFmtId="164" fontId="19" fillId="2" borderId="1" xfId="0" applyNumberFormat="1" applyFont="1" applyFill="1" applyBorder="1" applyAlignment="1">
      <alignment vertical="top"/>
    </xf>
    <xf numFmtId="0" fontId="19" fillId="0" borderId="1" xfId="0" applyFont="1" applyBorder="1" applyAlignment="1">
      <alignment vertical="top" wrapText="1"/>
    </xf>
    <xf numFmtId="0" fontId="19" fillId="2" borderId="1" xfId="0" applyFont="1" applyFill="1" applyBorder="1" applyAlignment="1">
      <alignment horizontal="center" vertical="top"/>
    </xf>
    <xf numFmtId="164" fontId="20" fillId="0" borderId="1" xfId="0" applyNumberFormat="1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23" fillId="0" borderId="1" xfId="0" applyFont="1" applyBorder="1" applyAlignment="1">
      <alignment vertical="top"/>
    </xf>
    <xf numFmtId="0" fontId="9" fillId="0" borderId="0" xfId="1" applyBorder="1" applyAlignment="1"/>
    <xf numFmtId="3" fontId="12" fillId="6" borderId="0" xfId="0" applyNumberFormat="1" applyFont="1" applyFill="1" applyAlignment="1">
      <alignment wrapText="1"/>
    </xf>
    <xf numFmtId="0" fontId="9" fillId="0" borderId="0" xfId="1" applyAlignment="1"/>
    <xf numFmtId="0" fontId="11" fillId="6" borderId="0" xfId="0" applyFont="1" applyFill="1" applyAlignment="1">
      <alignment wrapText="1"/>
    </xf>
    <xf numFmtId="0" fontId="13" fillId="0" borderId="0" xfId="1" applyFont="1" applyAlignment="1"/>
  </cellXfs>
  <cellStyles count="2">
    <cellStyle name="Hyperlink" xfId="1" xr:uid="{00000000-000B-0000-0000-000008000000}"/>
    <cellStyle name="Normal" xfId="0" builtinId="0"/>
  </cellStyles>
  <dxfs count="3">
    <dxf>
      <font>
        <b/>
        <color rgb="FFC2410C"/>
        <name val="Arial"/>
        <charset val="1"/>
      </font>
      <fill>
        <patternFill>
          <bgColor rgb="FFFFD9CC"/>
        </patternFill>
      </fill>
    </dxf>
    <dxf>
      <font>
        <b/>
        <color rgb="FFC2410C"/>
        <name val="Arial"/>
        <charset val="1"/>
      </font>
      <fill>
        <patternFill>
          <bgColor rgb="FFFFD9CC"/>
        </patternFill>
      </fill>
    </dxf>
    <dxf>
      <fill>
        <patternFill>
          <bgColor rgb="FFFFF3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C"/>
      <rgbColor rgb="FF878787"/>
      <rgbColor rgb="FF9999FF"/>
      <rgbColor rgb="FF993366"/>
      <rgbColor rgb="FFFFF3C4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1614FF"/>
      <rgbColor rgb="FF00CCFF"/>
      <rgbColor rgb="FFCCFFFF"/>
      <rgbColor rgb="FFCCFFCC"/>
      <rgbColor rgb="FFFFFF99"/>
      <rgbColor rgb="FF99CCFF"/>
      <rgbColor rgb="FFFF99CC"/>
      <rgbColor rgb="FFCC99FF"/>
      <rgbColor rgb="FFFFD9CC"/>
      <rgbColor rgb="FF3366FF"/>
      <rgbColor rgb="FF33CCCC"/>
      <rgbColor rgb="FF99CC00"/>
      <rgbColor rgb="FFFFCC00"/>
      <rgbColor rgb="FFFF9900"/>
      <rgbColor rgb="FFFF6600"/>
      <rgbColor rgb="FF5A5A7A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DC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Costo por subsistema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Costo (CLP)</c:v>
                </c:pt>
              </c:strCache>
            </c:strRef>
          </c:tx>
          <c:spPr>
            <a:solidFill>
              <a:srgbClr val="1614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Resumen!$A$4:$A$9</c:f>
              <c:strCache>
                <c:ptCount val="6"/>
                <c:pt idx="0">
                  <c:v>Electrónica</c:v>
                </c:pt>
                <c:pt idx="1">
                  <c:v>Mecánica / estructura</c:v>
                </c:pt>
                <c:pt idx="2">
                  <c:v>Fabricación</c:v>
                </c:pt>
                <c:pt idx="3">
                  <c:v>Terminaciones</c:v>
                </c:pt>
                <c:pt idx="4">
                  <c:v>Ensamblaje</c:v>
                </c:pt>
                <c:pt idx="5">
                  <c:v>Según el proyecto</c:v>
                </c:pt>
              </c:strCache>
            </c:strRef>
          </c:cat>
          <c:val>
            <c:numRef>
              <c:f>Resumen!$C$4:$C$9</c:f>
              <c:numCache>
                <c:formatCode>\$#,##0;"-$"#,##0;\-</c:formatCode>
                <c:ptCount val="6"/>
                <c:pt idx="0">
                  <c:v>46550</c:v>
                </c:pt>
                <c:pt idx="1">
                  <c:v>14180</c:v>
                </c:pt>
                <c:pt idx="2">
                  <c:v>0</c:v>
                </c:pt>
                <c:pt idx="3">
                  <c:v>6880</c:v>
                </c:pt>
                <c:pt idx="4">
                  <c:v>6790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56D-B930-0ECDC0E1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20069"/>
        <c:axId val="32036283"/>
      </c:barChart>
      <c:catAx>
        <c:axId val="339200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2036283"/>
        <c:crosses val="autoZero"/>
        <c:auto val="1"/>
        <c:lblAlgn val="ctr"/>
        <c:lblOffset val="100"/>
        <c:noMultiLvlLbl val="0"/>
      </c:catAx>
      <c:valAx>
        <c:axId val="32036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3920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cielectronics.cl/shop/product/buzzer-para-montar-en-pcb-12mm-2048khz-9738/" TargetMode="External"/><Relationship Id="rId13" Type="http://schemas.openxmlformats.org/officeDocument/2006/relationships/hyperlink" Target="https://mcielectronics.cl/shop/product/modulo-detector-de-humedad-del-suelo-30176/" TargetMode="External"/><Relationship Id="rId18" Type="http://schemas.openxmlformats.org/officeDocument/2006/relationships/hyperlink" Target="https://lamaqueteria.cl/producto/figuras-a-escala-1200-pack-30-uds/?srsltid=AU7gw4VJNCNeWCePSWJolCeVNQ6rBmkB4BRIKWUPsE0UmkNZNhRYkBCzpBk" TargetMode="External"/><Relationship Id="rId3" Type="http://schemas.openxmlformats.org/officeDocument/2006/relationships/hyperlink" Target="https://www.sodimac.cl/sodimac-cl/articulo/110285510/Corte-MDF-Natural-3-mm-40x40-cm/110285514?utm_" TargetMode="External"/><Relationship Id="rId21" Type="http://schemas.openxmlformats.org/officeDocument/2006/relationships/hyperlink" Target="https://www.mechatronicstore.cl/sensor-de-suelo-npk-sn-3002/?srsltid=AU7gw4VoVMq4J2i0b4bbg58jUWbnq3R7MRkboDW-RPL8YMrZP7q7DUri" TargetMode="External"/><Relationship Id="rId7" Type="http://schemas.openxmlformats.org/officeDocument/2006/relationships/hyperlink" Target="https://mcielectronics.cl/shop/product/pack-de-10-leds-blancos-de-alto-brillo-30077/?srsltid=AU7gw4UG6Y7tLSx50vH7om5Qx5yNkp2LlGM8TVFsr-ITvAUltLMXSfyU" TargetMode="External"/><Relationship Id="rId12" Type="http://schemas.openxmlformats.org/officeDocument/2006/relationships/hyperlink" Target="https://www.todotoner.cl/impresoras/impresoras-3d/filamentos/pla-1kg-blanco?source_impresee=reikke6fz9txas5c9neupdtpaj" TargetMode="External"/><Relationship Id="rId17" Type="http://schemas.openxmlformats.org/officeDocument/2006/relationships/hyperlink" Target="https://www.easy.cl/cinta-aislante-18-mm-5-m-tesa-529109/p?idsku=6205&amp;gad_source=4&amp;gad_campaignid=24048792210&amp;gbraid=0AAAAAD6SqDmoWtcLn1ocfZbpmSEHbgXWX&amp;gclid=CjwKCAjww-3VBhAcEiwAwUUIu6eh6fpbJ3r0fkw53JyRF1vtsNJ7Rz_vnb95Tb1xfDKajWjxo94gyxoCTo0QAvD_BwE" TargetMode="External"/><Relationship Id="rId2" Type="http://schemas.openxmlformats.org/officeDocument/2006/relationships/hyperlink" Target="https://mcielectronics.cl/shop/product/esp32-s3-devkitc-1-n8/?utm_source=chatgpt.com" TargetMode="External"/><Relationship Id="rId16" Type="http://schemas.openxmlformats.org/officeDocument/2006/relationships/hyperlink" Target="https://www.unimarc.cl/product/adhesivo-transparente-agorex-90-cc?srsltid=AU7gw4Xv2WDgQ2t3T9DouW4i4AX8SKQCJzIlV9iFcBjj-bllzw7CG3OAbLs" TargetMode="External"/><Relationship Id="rId20" Type="http://schemas.openxmlformats.org/officeDocument/2006/relationships/hyperlink" Target="https://www.mechatronicstore.cl/kit-modulo-sensor-de-ph-sonda-de-electrodo-bnc-arduino/?srsltid=AU7gw4V7sdBYMTnshKrxj1kJ7x_0IbzAiwGk_GrUxE0CWf_J_SlPjB2JXl4" TargetMode="External"/><Relationship Id="rId1" Type="http://schemas.openxmlformats.org/officeDocument/2006/relationships/hyperlink" Target="https://mcielectronics.cl/shop/product/esp32-s3-devkitc-1-n8/?utm_source=chatgpt.com" TargetMode="External"/><Relationship Id="rId6" Type="http://schemas.openxmlformats.org/officeDocument/2006/relationships/hyperlink" Target="https://mcielectronics.cl/shop/product/sensor-de-temperatura-ds18b20-resistente-al-agua-1m-25764/?srsltid=AU7gw4WZwf1L0XQYcBdMOXL9X34Z6bQr82x6fxE8vaW994y4tPfGMTAa" TargetMode="External"/><Relationship Id="rId11" Type="http://schemas.openxmlformats.org/officeDocument/2006/relationships/hyperlink" Target="https://www.todotoner.cl/impresoras/impresoras-3d/filamentos/pla-mas-elegoo-blanco-1kg?source_impresee=uyiahke7x5yysg3wc377j2y7em" TargetMode="External"/><Relationship Id="rId5" Type="http://schemas.openxmlformats.org/officeDocument/2006/relationships/hyperlink" Target="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" TargetMode="External"/><Relationship Id="rId15" Type="http://schemas.openxmlformats.org/officeDocument/2006/relationships/hyperlink" Target="https://super.eltit.cl/products/artel-acrilicos-12-un" TargetMode="External"/><Relationship Id="rId10" Type="http://schemas.openxmlformats.org/officeDocument/2006/relationships/hyperlink" Target="https://mcielectronics.cl/shop/product/protoboard-de-tamano-completo-830pts-mb-102-23380/" TargetMode="External"/><Relationship Id="rId19" Type="http://schemas.openxmlformats.org/officeDocument/2006/relationships/hyperlink" Target="https://www.mechatronicstore.cl/sensor-direccion-viento-360-veleta/?srsltid=AU7gw4VERf0fJ80dP5bom8dB6vqQ-a4WRnv8fLOSzQEFsnf_RLw1xB3R" TargetMode="External"/><Relationship Id="rId4" Type="http://schemas.openxmlformats.org/officeDocument/2006/relationships/hyperlink" Target="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" TargetMode="External"/><Relationship Id="rId9" Type="http://schemas.openxmlformats.org/officeDocument/2006/relationships/hyperlink" Target="https://mcielectronics.cl/shop/product/cable-dupont-macho-hembra-20cm-pack-40-unidades-2/" TargetMode="External"/><Relationship Id="rId14" Type="http://schemas.openxmlformats.org/officeDocument/2006/relationships/hyperlink" Target="https://mcielectronics.cl/shop/product/placa-esp32-cam-wifi-bluetooth/?srsltid=AU7gw4W94rWs7PVjKlXexxpIX6bHJRS4si8Lf07ZchWQecdAf2qFsncD" TargetMode="External"/><Relationship Id="rId22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6" zoomScaleNormal="100" workbookViewId="0">
      <selection activeCell="B20" sqref="B20"/>
    </sheetView>
  </sheetViews>
  <sheetFormatPr defaultColWidth="8.7109375" defaultRowHeight="15"/>
  <cols>
    <col min="1" max="1" width="30" customWidth="1"/>
    <col min="2" max="2" width="95" customWidth="1"/>
  </cols>
  <sheetData>
    <row r="1" spans="1:2" ht="20.25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3" t="s">
        <v>4</v>
      </c>
    </row>
    <row r="7" spans="1:2">
      <c r="A7" t="s">
        <v>5</v>
      </c>
      <c r="B7" t="s">
        <v>6</v>
      </c>
    </row>
    <row r="8" spans="1:2">
      <c r="A8" s="5" t="s">
        <v>7</v>
      </c>
      <c r="B8" t="s">
        <v>8</v>
      </c>
    </row>
    <row r="9" spans="1:2">
      <c r="A9" s="6" t="s">
        <v>9</v>
      </c>
      <c r="B9" t="s">
        <v>10</v>
      </c>
    </row>
    <row r="10" spans="1:2">
      <c r="A10" s="7" t="s">
        <v>11</v>
      </c>
      <c r="B10" t="s">
        <v>12</v>
      </c>
    </row>
    <row r="12" spans="1:2">
      <c r="A12" s="3" t="s">
        <v>13</v>
      </c>
    </row>
    <row r="13" spans="1:2" ht="28.5">
      <c r="A13" s="3" t="s">
        <v>14</v>
      </c>
      <c r="B13" s="8" t="s">
        <v>15</v>
      </c>
    </row>
    <row r="14" spans="1:2">
      <c r="A14" s="3" t="s">
        <v>16</v>
      </c>
      <c r="B14" s="8" t="s">
        <v>17</v>
      </c>
    </row>
    <row r="15" spans="1:2">
      <c r="A15" s="3" t="s">
        <v>18</v>
      </c>
      <c r="B15" s="8" t="s">
        <v>19</v>
      </c>
    </row>
    <row r="16" spans="1:2">
      <c r="A16" s="3" t="s">
        <v>20</v>
      </c>
      <c r="B16" s="8" t="s">
        <v>21</v>
      </c>
    </row>
    <row r="17" spans="1:2" ht="28.5">
      <c r="A17" s="3" t="s">
        <v>22</v>
      </c>
      <c r="B17" s="8" t="s">
        <v>23</v>
      </c>
    </row>
    <row r="18" spans="1:2">
      <c r="A18" s="3" t="s">
        <v>24</v>
      </c>
      <c r="B18" s="8" t="s">
        <v>25</v>
      </c>
    </row>
    <row r="19" spans="1:2">
      <c r="A19" s="3" t="s">
        <v>26</v>
      </c>
      <c r="B19" s="8" t="s">
        <v>27</v>
      </c>
    </row>
    <row r="20" spans="1:2">
      <c r="A20" s="3" t="s">
        <v>28</v>
      </c>
      <c r="B20" s="8" t="s">
        <v>29</v>
      </c>
    </row>
    <row r="21" spans="1:2">
      <c r="A21" s="3" t="s">
        <v>30</v>
      </c>
      <c r="B21" s="8" t="s">
        <v>31</v>
      </c>
    </row>
    <row r="22" spans="1:2">
      <c r="A22" s="3" t="s">
        <v>32</v>
      </c>
      <c r="B22" s="8" t="s">
        <v>33</v>
      </c>
    </row>
    <row r="23" spans="1:2">
      <c r="A23" s="3" t="s">
        <v>34</v>
      </c>
      <c r="B23" s="8" t="s">
        <v>35</v>
      </c>
    </row>
    <row r="24" spans="1:2">
      <c r="A24" s="3" t="s">
        <v>36</v>
      </c>
      <c r="B24" s="8" t="s">
        <v>37</v>
      </c>
    </row>
    <row r="26" spans="1:2" ht="28.5">
      <c r="A26" s="3" t="s">
        <v>38</v>
      </c>
      <c r="B26" s="8" t="s">
        <v>39</v>
      </c>
    </row>
    <row r="27" spans="1:2" ht="28.5">
      <c r="A27" s="3" t="s">
        <v>36</v>
      </c>
      <c r="B27" s="8" t="s">
        <v>40</v>
      </c>
    </row>
    <row r="28" spans="1:2" ht="42.75">
      <c r="A28" s="3" t="s">
        <v>41</v>
      </c>
      <c r="B28" s="8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5"/>
  <sheetViews>
    <sheetView tabSelected="1" zoomScale="85" zoomScaleNormal="85" workbookViewId="0">
      <pane xSplit="2" ySplit="8" topLeftCell="F20" activePane="bottomRight" state="frozen"/>
      <selection pane="bottomRight" activeCell="L29" sqref="L29"/>
      <selection pane="bottomLeft" activeCell="A9" sqref="A9"/>
      <selection pane="topRight" activeCell="C1" sqref="C1"/>
    </sheetView>
  </sheetViews>
  <sheetFormatPr defaultColWidth="8.7109375" defaultRowHeight="15"/>
  <cols>
    <col min="1" max="1" width="11.140625" customWidth="1"/>
    <col min="2" max="2" width="31.42578125" customWidth="1"/>
    <col min="3" max="3" width="30" customWidth="1"/>
    <col min="4" max="4" width="24" customWidth="1"/>
    <col min="5" max="5" width="34" customWidth="1"/>
    <col min="6" max="6" width="20" customWidth="1"/>
    <col min="7" max="7" width="8" customWidth="1"/>
    <col min="8" max="8" width="9" customWidth="1"/>
    <col min="9" max="9" width="18" customWidth="1"/>
    <col min="10" max="10" width="30" customWidth="1"/>
    <col min="11" max="12" width="14" customWidth="1"/>
    <col min="13" max="13" width="20" customWidth="1"/>
    <col min="14" max="14" width="24" customWidth="1"/>
    <col min="15" max="16" width="14" customWidth="1"/>
    <col min="17" max="17" width="34" customWidth="1"/>
  </cols>
  <sheetData>
    <row r="1" spans="1:17" ht="20.25">
      <c r="A1" s="1" t="s">
        <v>43</v>
      </c>
    </row>
    <row r="2" spans="1:17" ht="16.5">
      <c r="A2" s="3" t="s">
        <v>44</v>
      </c>
      <c r="B2" s="9" t="s">
        <v>45</v>
      </c>
      <c r="E2" s="3" t="s">
        <v>46</v>
      </c>
      <c r="F2" s="10">
        <f>SUM(L9:L165)</f>
        <v>210790</v>
      </c>
    </row>
    <row r="3" spans="1:17">
      <c r="A3" s="3" t="s">
        <v>47</v>
      </c>
      <c r="B3" s="9" t="s">
        <v>48</v>
      </c>
      <c r="E3" s="3" t="s">
        <v>49</v>
      </c>
      <c r="F3" s="11">
        <f>COUNTA(D9:D165)</f>
        <v>19</v>
      </c>
    </row>
    <row r="4" spans="1:17">
      <c r="A4" s="3" t="s">
        <v>50</v>
      </c>
      <c r="B4" s="9" t="s">
        <v>51</v>
      </c>
      <c r="E4" s="3" t="s">
        <v>52</v>
      </c>
      <c r="F4" s="11">
        <f>SUMPRODUCT((D9:D165&lt;&gt;"")*(K9:K165=""))</f>
        <v>1</v>
      </c>
    </row>
    <row r="5" spans="1:17">
      <c r="A5" s="3" t="s">
        <v>53</v>
      </c>
      <c r="B5" s="44">
        <v>46294</v>
      </c>
      <c r="E5" s="3" t="s">
        <v>54</v>
      </c>
      <c r="F5" s="11">
        <f>COUNTIF(P9:P165,"Revisar")</f>
        <v>3</v>
      </c>
    </row>
    <row r="8" spans="1:17" ht="33.75" customHeight="1">
      <c r="A8" s="37" t="s">
        <v>14</v>
      </c>
      <c r="B8" s="37" t="s">
        <v>16</v>
      </c>
      <c r="C8" s="37" t="s">
        <v>18</v>
      </c>
      <c r="D8" s="37" t="s">
        <v>20</v>
      </c>
      <c r="E8" s="37" t="s">
        <v>22</v>
      </c>
      <c r="F8" s="37" t="s">
        <v>24</v>
      </c>
      <c r="G8" s="37" t="s">
        <v>55</v>
      </c>
      <c r="H8" s="37" t="s">
        <v>56</v>
      </c>
      <c r="I8" s="37" t="s">
        <v>57</v>
      </c>
      <c r="J8" s="37" t="s">
        <v>58</v>
      </c>
      <c r="K8" s="37" t="s">
        <v>59</v>
      </c>
      <c r="L8" s="37" t="s">
        <v>60</v>
      </c>
      <c r="M8" s="37" t="s">
        <v>61</v>
      </c>
      <c r="N8" s="37" t="s">
        <v>62</v>
      </c>
      <c r="O8" s="37" t="s">
        <v>34</v>
      </c>
      <c r="P8" s="37" t="s">
        <v>36</v>
      </c>
      <c r="Q8" s="37" t="s">
        <v>63</v>
      </c>
    </row>
    <row r="9" spans="1:17" ht="40.5">
      <c r="A9" s="38" t="s">
        <v>64</v>
      </c>
      <c r="B9" s="39" t="s">
        <v>65</v>
      </c>
      <c r="C9" s="39" t="s">
        <v>66</v>
      </c>
      <c r="D9" s="39" t="s">
        <v>67</v>
      </c>
      <c r="E9" s="39" t="s">
        <v>68</v>
      </c>
      <c r="F9" s="39" t="s">
        <v>69</v>
      </c>
      <c r="G9" s="39">
        <v>1</v>
      </c>
      <c r="H9" s="39" t="s">
        <v>70</v>
      </c>
      <c r="I9" s="38" t="s">
        <v>71</v>
      </c>
      <c r="J9" s="40" t="s">
        <v>72</v>
      </c>
      <c r="K9" s="41">
        <v>12990</v>
      </c>
      <c r="L9" s="42">
        <v>12990</v>
      </c>
      <c r="M9" s="40" t="s">
        <v>73</v>
      </c>
      <c r="N9" s="39" t="s">
        <v>74</v>
      </c>
      <c r="O9" s="39" t="s">
        <v>75</v>
      </c>
      <c r="P9" s="43"/>
      <c r="Q9" s="39" t="s">
        <v>76</v>
      </c>
    </row>
    <row r="10" spans="1:17" ht="27">
      <c r="A10" s="38" t="s">
        <v>77</v>
      </c>
      <c r="B10" s="39" t="s">
        <v>65</v>
      </c>
      <c r="C10" s="39" t="s">
        <v>78</v>
      </c>
      <c r="D10" s="39" t="s">
        <v>79</v>
      </c>
      <c r="E10" s="39" t="s">
        <v>80</v>
      </c>
      <c r="F10" s="39" t="s">
        <v>81</v>
      </c>
      <c r="G10" s="39">
        <v>1</v>
      </c>
      <c r="H10" s="39" t="s">
        <v>70</v>
      </c>
      <c r="I10" s="38" t="s">
        <v>71</v>
      </c>
      <c r="J10" s="50" t="s">
        <v>82</v>
      </c>
      <c r="K10" s="41">
        <v>14990</v>
      </c>
      <c r="L10" s="42">
        <v>14990</v>
      </c>
      <c r="M10" s="39" t="s">
        <v>83</v>
      </c>
      <c r="N10" s="39" t="s">
        <v>84</v>
      </c>
      <c r="O10" s="39" t="s">
        <v>75</v>
      </c>
      <c r="P10" s="43"/>
      <c r="Q10" s="39" t="s">
        <v>85</v>
      </c>
    </row>
    <row r="11" spans="1:17" ht="27">
      <c r="A11" s="38" t="s">
        <v>86</v>
      </c>
      <c r="B11" s="39" t="s">
        <v>65</v>
      </c>
      <c r="C11" s="39" t="s">
        <v>87</v>
      </c>
      <c r="D11" s="39" t="s">
        <v>88</v>
      </c>
      <c r="E11" s="39" t="s">
        <v>89</v>
      </c>
      <c r="F11" s="39" t="s">
        <v>90</v>
      </c>
      <c r="G11" s="39">
        <v>1</v>
      </c>
      <c r="H11" s="39" t="s">
        <v>70</v>
      </c>
      <c r="I11" s="39" t="s">
        <v>91</v>
      </c>
      <c r="J11" s="50" t="s">
        <v>92</v>
      </c>
      <c r="K11" s="41">
        <v>3000</v>
      </c>
      <c r="L11" s="42">
        <v>3000</v>
      </c>
      <c r="M11" s="39" t="s">
        <v>93</v>
      </c>
      <c r="N11" s="39" t="s">
        <v>94</v>
      </c>
      <c r="O11" s="39" t="s">
        <v>75</v>
      </c>
      <c r="P11" s="43"/>
      <c r="Q11" s="39" t="s">
        <v>95</v>
      </c>
    </row>
    <row r="12" spans="1:17" ht="27">
      <c r="A12" s="38" t="s">
        <v>96</v>
      </c>
      <c r="B12" s="39" t="s">
        <v>65</v>
      </c>
      <c r="C12" s="39" t="s">
        <v>97</v>
      </c>
      <c r="D12" s="39" t="s">
        <v>98</v>
      </c>
      <c r="E12" s="39" t="s">
        <v>99</v>
      </c>
      <c r="F12" s="39" t="s">
        <v>100</v>
      </c>
      <c r="G12" s="39">
        <v>1</v>
      </c>
      <c r="H12" s="39" t="s">
        <v>70</v>
      </c>
      <c r="I12" s="38" t="s">
        <v>71</v>
      </c>
      <c r="J12" s="50" t="s">
        <v>101</v>
      </c>
      <c r="K12" s="41">
        <v>2690</v>
      </c>
      <c r="L12" s="42">
        <v>2690</v>
      </c>
      <c r="M12" s="39" t="s">
        <v>83</v>
      </c>
      <c r="N12" s="39" t="s">
        <v>102</v>
      </c>
      <c r="O12" s="39" t="s">
        <v>75</v>
      </c>
      <c r="P12" s="43"/>
      <c r="Q12" s="39" t="s">
        <v>103</v>
      </c>
    </row>
    <row r="13" spans="1:17" ht="27">
      <c r="A13" s="38" t="s">
        <v>104</v>
      </c>
      <c r="B13" s="39" t="s">
        <v>65</v>
      </c>
      <c r="C13" s="39" t="s">
        <v>105</v>
      </c>
      <c r="D13" s="39" t="s">
        <v>106</v>
      </c>
      <c r="E13" s="39" t="s">
        <v>107</v>
      </c>
      <c r="F13" s="39" t="s">
        <v>108</v>
      </c>
      <c r="G13" s="39">
        <v>1</v>
      </c>
      <c r="H13" s="39" t="s">
        <v>70</v>
      </c>
      <c r="I13" s="38" t="s">
        <v>71</v>
      </c>
      <c r="J13" s="50" t="s">
        <v>109</v>
      </c>
      <c r="K13" s="41">
        <v>5000</v>
      </c>
      <c r="L13" s="42">
        <v>5000</v>
      </c>
      <c r="M13" s="39" t="s">
        <v>110</v>
      </c>
      <c r="N13" s="39" t="s">
        <v>111</v>
      </c>
      <c r="O13" s="39" t="s">
        <v>75</v>
      </c>
      <c r="P13" s="43"/>
      <c r="Q13" s="39" t="s">
        <v>112</v>
      </c>
    </row>
    <row r="14" spans="1:17">
      <c r="A14" s="38" t="s">
        <v>113</v>
      </c>
      <c r="B14" s="39" t="s">
        <v>65</v>
      </c>
      <c r="C14" s="39" t="s">
        <v>114</v>
      </c>
      <c r="D14" s="39" t="s">
        <v>115</v>
      </c>
      <c r="E14" s="39" t="s">
        <v>116</v>
      </c>
      <c r="F14" s="39" t="s">
        <v>117</v>
      </c>
      <c r="G14" s="39">
        <v>1</v>
      </c>
      <c r="H14" s="39" t="s">
        <v>70</v>
      </c>
      <c r="I14" s="38" t="s">
        <v>71</v>
      </c>
      <c r="J14" s="50" t="s">
        <v>118</v>
      </c>
      <c r="K14" s="38">
        <v>1890</v>
      </c>
      <c r="L14" s="42">
        <v>1890</v>
      </c>
      <c r="M14" s="39" t="s">
        <v>119</v>
      </c>
      <c r="N14" s="39" t="s">
        <v>120</v>
      </c>
      <c r="O14" s="39" t="s">
        <v>75</v>
      </c>
      <c r="P14" s="43"/>
      <c r="Q14" s="39" t="s">
        <v>121</v>
      </c>
    </row>
    <row r="15" spans="1:17" ht="27">
      <c r="A15" s="38" t="s">
        <v>122</v>
      </c>
      <c r="B15" s="39" t="s">
        <v>65</v>
      </c>
      <c r="C15" s="39" t="s">
        <v>123</v>
      </c>
      <c r="D15" s="39" t="s">
        <v>124</v>
      </c>
      <c r="E15" s="39" t="s">
        <v>125</v>
      </c>
      <c r="F15" s="39" t="s">
        <v>117</v>
      </c>
      <c r="G15" s="39">
        <v>1</v>
      </c>
      <c r="H15" s="39" t="s">
        <v>70</v>
      </c>
      <c r="I15" s="38" t="s">
        <v>71</v>
      </c>
      <c r="J15" s="50" t="s">
        <v>126</v>
      </c>
      <c r="K15" s="38">
        <v>1490</v>
      </c>
      <c r="L15" s="42">
        <v>1490</v>
      </c>
      <c r="M15" s="39" t="s">
        <v>119</v>
      </c>
      <c r="N15" s="39" t="s">
        <v>127</v>
      </c>
      <c r="O15" s="39" t="s">
        <v>75</v>
      </c>
      <c r="P15" s="43"/>
      <c r="Q15" s="39" t="s">
        <v>128</v>
      </c>
    </row>
    <row r="16" spans="1:17">
      <c r="A16" s="38" t="s">
        <v>129</v>
      </c>
      <c r="B16" s="39" t="s">
        <v>65</v>
      </c>
      <c r="C16" s="39" t="s">
        <v>130</v>
      </c>
      <c r="D16" s="39" t="s">
        <v>131</v>
      </c>
      <c r="E16" s="39" t="s">
        <v>132</v>
      </c>
      <c r="F16" s="39" t="s">
        <v>117</v>
      </c>
      <c r="G16" s="39">
        <v>1</v>
      </c>
      <c r="H16" s="39" t="s">
        <v>133</v>
      </c>
      <c r="I16" s="38" t="s">
        <v>71</v>
      </c>
      <c r="J16" s="50" t="s">
        <v>134</v>
      </c>
      <c r="K16" s="41">
        <v>2000</v>
      </c>
      <c r="L16" s="42">
        <v>2000</v>
      </c>
      <c r="M16" s="39" t="s">
        <v>119</v>
      </c>
      <c r="N16" s="39" t="s">
        <v>135</v>
      </c>
      <c r="O16" s="39" t="s">
        <v>75</v>
      </c>
      <c r="P16" s="43"/>
      <c r="Q16" s="39" t="s">
        <v>136</v>
      </c>
    </row>
    <row r="17" spans="1:17" ht="27">
      <c r="A17" s="38" t="s">
        <v>137</v>
      </c>
      <c r="B17" s="39" t="s">
        <v>65</v>
      </c>
      <c r="C17" s="39" t="s">
        <v>138</v>
      </c>
      <c r="D17" s="39" t="s">
        <v>139</v>
      </c>
      <c r="E17" s="39" t="s">
        <v>140</v>
      </c>
      <c r="F17" s="39" t="s">
        <v>117</v>
      </c>
      <c r="G17" s="39">
        <v>1</v>
      </c>
      <c r="H17" s="39" t="s">
        <v>70</v>
      </c>
      <c r="I17" s="38" t="s">
        <v>71</v>
      </c>
      <c r="J17" s="50" t="s">
        <v>141</v>
      </c>
      <c r="K17" s="41">
        <v>2500</v>
      </c>
      <c r="L17" s="42">
        <v>2500</v>
      </c>
      <c r="M17" s="39" t="s">
        <v>142</v>
      </c>
      <c r="N17" s="39" t="s">
        <v>143</v>
      </c>
      <c r="O17" s="39" t="s">
        <v>75</v>
      </c>
      <c r="P17" s="43"/>
      <c r="Q17" s="39" t="s">
        <v>144</v>
      </c>
    </row>
    <row r="18" spans="1:17">
      <c r="A18" s="38" t="s">
        <v>145</v>
      </c>
      <c r="B18" s="39" t="s">
        <v>65</v>
      </c>
      <c r="C18" s="57" t="s">
        <v>146</v>
      </c>
      <c r="D18" s="57" t="s">
        <v>147</v>
      </c>
      <c r="E18" s="57" t="s">
        <v>148</v>
      </c>
      <c r="F18" s="39" t="s">
        <v>117</v>
      </c>
      <c r="G18" s="39">
        <v>1</v>
      </c>
      <c r="H18" s="39" t="s">
        <v>70</v>
      </c>
      <c r="I18" s="38" t="s">
        <v>149</v>
      </c>
      <c r="J18" s="67" t="s">
        <v>150</v>
      </c>
      <c r="K18" s="41">
        <v>30000</v>
      </c>
      <c r="L18" s="68">
        <v>30000</v>
      </c>
      <c r="M18" s="39" t="s">
        <v>142</v>
      </c>
      <c r="N18" s="39"/>
      <c r="O18" s="39"/>
      <c r="P18" s="43"/>
      <c r="Q18" s="39"/>
    </row>
    <row r="19" spans="1:17">
      <c r="A19" s="38" t="s">
        <v>151</v>
      </c>
      <c r="B19" s="39" t="s">
        <v>65</v>
      </c>
      <c r="C19" s="39" t="s">
        <v>152</v>
      </c>
      <c r="D19" s="57" t="s">
        <v>153</v>
      </c>
      <c r="E19" s="57" t="s">
        <v>154</v>
      </c>
      <c r="F19" s="39" t="s">
        <v>117</v>
      </c>
      <c r="G19" s="39">
        <v>1</v>
      </c>
      <c r="H19" s="39" t="s">
        <v>70</v>
      </c>
      <c r="I19" s="39" t="s">
        <v>91</v>
      </c>
      <c r="J19" s="69" t="s">
        <v>155</v>
      </c>
      <c r="K19" s="38">
        <v>14000</v>
      </c>
      <c r="L19" s="47">
        <v>14000</v>
      </c>
      <c r="M19" s="39" t="s">
        <v>142</v>
      </c>
      <c r="N19" s="39"/>
      <c r="O19" s="39" t="s">
        <v>75</v>
      </c>
      <c r="P19" s="43"/>
      <c r="Q19" s="39" t="s">
        <v>156</v>
      </c>
    </row>
    <row r="20" spans="1:17">
      <c r="A20" s="47"/>
      <c r="B20" s="46"/>
      <c r="C20" s="57" t="s">
        <v>157</v>
      </c>
      <c r="D20" s="57" t="s">
        <v>158</v>
      </c>
      <c r="E20" s="46" t="s">
        <v>159</v>
      </c>
      <c r="F20" s="39" t="s">
        <v>117</v>
      </c>
      <c r="G20" s="39">
        <v>1</v>
      </c>
      <c r="H20" s="39" t="s">
        <v>70</v>
      </c>
      <c r="I20" s="38" t="s">
        <v>149</v>
      </c>
      <c r="J20" s="71" t="s">
        <v>160</v>
      </c>
      <c r="K20" s="47">
        <v>24900</v>
      </c>
      <c r="L20" s="47">
        <v>24900</v>
      </c>
      <c r="M20" s="39" t="s">
        <v>142</v>
      </c>
      <c r="N20" s="46"/>
      <c r="O20" s="46"/>
      <c r="P20" s="70"/>
      <c r="Q20" s="46"/>
    </row>
    <row r="21" spans="1:17">
      <c r="A21" s="47" t="s">
        <v>161</v>
      </c>
      <c r="B21" s="39" t="s">
        <v>65</v>
      </c>
      <c r="C21" s="57" t="s">
        <v>162</v>
      </c>
      <c r="D21" s="39" t="s">
        <v>163</v>
      </c>
      <c r="E21" s="46"/>
      <c r="F21" s="39" t="s">
        <v>117</v>
      </c>
      <c r="G21" s="46">
        <v>1</v>
      </c>
      <c r="H21" s="46" t="s">
        <v>70</v>
      </c>
      <c r="I21" s="38" t="s">
        <v>149</v>
      </c>
      <c r="J21" s="69" t="s">
        <v>164</v>
      </c>
      <c r="K21" s="47">
        <v>62990</v>
      </c>
      <c r="L21" s="47">
        <v>62990</v>
      </c>
      <c r="M21" s="39" t="s">
        <v>142</v>
      </c>
      <c r="N21" s="46"/>
      <c r="O21" s="46" t="s">
        <v>75</v>
      </c>
      <c r="P21" s="70"/>
      <c r="Q21" s="46"/>
    </row>
    <row r="22" spans="1:17" s="46" customFormat="1" ht="27">
      <c r="A22" s="47" t="s">
        <v>165</v>
      </c>
      <c r="B22" s="46" t="s">
        <v>166</v>
      </c>
      <c r="C22" s="46" t="s">
        <v>167</v>
      </c>
      <c r="D22" s="46" t="s">
        <v>168</v>
      </c>
      <c r="E22" s="53" t="s">
        <v>169</v>
      </c>
      <c r="F22" s="46" t="s">
        <v>170</v>
      </c>
      <c r="G22" s="46">
        <v>1</v>
      </c>
      <c r="H22" s="46" t="s">
        <v>171</v>
      </c>
      <c r="I22" s="46" t="s">
        <v>172</v>
      </c>
      <c r="J22" s="48" t="s">
        <v>173</v>
      </c>
      <c r="K22" s="47">
        <v>1390</v>
      </c>
      <c r="L22" s="47">
        <v>1390</v>
      </c>
      <c r="M22" s="46" t="s">
        <v>174</v>
      </c>
      <c r="N22" s="46" t="s">
        <v>175</v>
      </c>
      <c r="O22" s="46" t="s">
        <v>75</v>
      </c>
      <c r="Q22" s="46" t="s">
        <v>176</v>
      </c>
    </row>
    <row r="23" spans="1:17" ht="27">
      <c r="A23" s="47" t="s">
        <v>177</v>
      </c>
      <c r="B23" s="46" t="s">
        <v>166</v>
      </c>
      <c r="C23" s="46" t="s">
        <v>178</v>
      </c>
      <c r="D23" s="46" t="s">
        <v>179</v>
      </c>
      <c r="E23" s="46" t="s">
        <v>180</v>
      </c>
      <c r="F23" t="s">
        <v>181</v>
      </c>
      <c r="G23">
        <v>1</v>
      </c>
      <c r="H23" t="s">
        <v>70</v>
      </c>
      <c r="I23" s="39" t="s">
        <v>182</v>
      </c>
      <c r="J23" s="48" t="s">
        <v>183</v>
      </c>
      <c r="K23" s="47">
        <v>2500</v>
      </c>
      <c r="L23" s="47">
        <v>12790</v>
      </c>
      <c r="M23" s="46" t="s">
        <v>184</v>
      </c>
      <c r="N23" s="49" t="s">
        <v>185</v>
      </c>
      <c r="O23" s="46" t="s">
        <v>75</v>
      </c>
      <c r="Q23" s="46" t="s">
        <v>186</v>
      </c>
    </row>
    <row r="24" spans="1:17">
      <c r="A24" s="13"/>
      <c r="B24" s="51" t="s">
        <v>187</v>
      </c>
      <c r="C24" s="57" t="s">
        <v>188</v>
      </c>
      <c r="D24" s="51" t="s">
        <v>189</v>
      </c>
      <c r="E24" s="55" t="s">
        <v>190</v>
      </c>
      <c r="F24" s="51" t="s">
        <v>191</v>
      </c>
      <c r="G24" s="65">
        <v>1</v>
      </c>
      <c r="H24" s="13" t="s">
        <v>70</v>
      </c>
      <c r="I24" s="51" t="s">
        <v>192</v>
      </c>
      <c r="J24" s="54" t="s">
        <v>193</v>
      </c>
      <c r="K24" s="16">
        <v>6790</v>
      </c>
      <c r="L24" s="17">
        <f>IF(OR(G24="",K24=""),"",G24*K24)</f>
        <v>6790</v>
      </c>
      <c r="M24" s="13" t="s">
        <v>194</v>
      </c>
      <c r="N24" s="35"/>
      <c r="O24" s="46" t="s">
        <v>75</v>
      </c>
      <c r="P24" s="18" t="str">
        <f>IF(C25="","",IF(COUNTIF(Trazabilidad!$A$5:$A$60,C25)&gt;0,"✓","Revisar"))</f>
        <v>Revisar</v>
      </c>
      <c r="Q24" s="55" t="s">
        <v>195</v>
      </c>
    </row>
    <row r="25" spans="1:17">
      <c r="A25" s="13"/>
      <c r="B25" s="51" t="s">
        <v>187</v>
      </c>
      <c r="C25" s="55" t="s">
        <v>196</v>
      </c>
      <c r="D25" s="52" t="s">
        <v>197</v>
      </c>
      <c r="E25" s="14"/>
      <c r="F25" s="13"/>
      <c r="G25" s="65"/>
      <c r="H25" s="13"/>
      <c r="I25" s="13"/>
      <c r="J25" s="13"/>
      <c r="K25" s="16"/>
      <c r="L25" s="17" t="str">
        <f t="shared" ref="L24:L29" si="0">IF(OR(G25="",K25=""),"",G25*K25)</f>
        <v/>
      </c>
      <c r="M25" s="13"/>
      <c r="N25" s="14"/>
      <c r="O25" s="46" t="s">
        <v>75</v>
      </c>
      <c r="P25" s="18" t="e">
        <f>IF(#REF!="","",IF(COUNTIF(Trazabilidad!$A$5:$A$60,#REF!)&gt;0,"✓","Revisar"))</f>
        <v>#REF!</v>
      </c>
      <c r="Q25" s="14"/>
    </row>
    <row r="26" spans="1:17" s="57" customFormat="1" ht="30.75" customHeight="1">
      <c r="A26" s="58" t="s">
        <v>198</v>
      </c>
      <c r="B26" s="58" t="s">
        <v>199</v>
      </c>
      <c r="C26" s="55" t="s">
        <v>200</v>
      </c>
      <c r="D26" s="51" t="s">
        <v>201</v>
      </c>
      <c r="E26" s="55" t="s">
        <v>202</v>
      </c>
      <c r="F26" s="51" t="s">
        <v>203</v>
      </c>
      <c r="G26" s="66">
        <v>1</v>
      </c>
      <c r="H26" s="58" t="s">
        <v>70</v>
      </c>
      <c r="I26" s="51" t="s">
        <v>204</v>
      </c>
      <c r="J26" s="59" t="s">
        <v>205</v>
      </c>
      <c r="K26" s="64">
        <v>890</v>
      </c>
      <c r="L26" s="61">
        <f t="shared" si="0"/>
        <v>890</v>
      </c>
      <c r="M26" s="58" t="s">
        <v>194</v>
      </c>
      <c r="N26" s="62"/>
      <c r="O26" s="46" t="s">
        <v>75</v>
      </c>
      <c r="P26" s="63" t="str">
        <f>IF(C26="","",IF(COUNTIF(Trazabilidad!$A$5:$A$60,C26)&gt;0,"✓","Revisar"))</f>
        <v>Revisar</v>
      </c>
      <c r="Q26" s="62"/>
    </row>
    <row r="27" spans="1:17" s="57" customFormat="1" ht="30.75" customHeight="1">
      <c r="A27" s="58" t="s">
        <v>206</v>
      </c>
      <c r="B27" s="58" t="s">
        <v>199</v>
      </c>
      <c r="C27" s="55" t="s">
        <v>207</v>
      </c>
      <c r="D27" s="51" t="s">
        <v>208</v>
      </c>
      <c r="E27" s="55" t="s">
        <v>209</v>
      </c>
      <c r="F27" s="51" t="s">
        <v>210</v>
      </c>
      <c r="G27" s="66">
        <v>1</v>
      </c>
      <c r="H27" s="58" t="s">
        <v>70</v>
      </c>
      <c r="I27" s="51" t="s">
        <v>211</v>
      </c>
      <c r="J27" s="59" t="s">
        <v>212</v>
      </c>
      <c r="K27" s="60">
        <v>5990</v>
      </c>
      <c r="L27" s="61">
        <f>IF(OR(G27="",K27=""),"",G27*K27)</f>
        <v>5990</v>
      </c>
      <c r="M27" s="51" t="s">
        <v>194</v>
      </c>
      <c r="N27" s="62"/>
      <c r="O27" s="46" t="s">
        <v>75</v>
      </c>
      <c r="P27" s="63" t="e">
        <f>IF(#REF!="","",IF(COUNTIF(Trazabilidad!$A$5:$A$60,#REF!)&gt;0,"✓","Revisar"))</f>
        <v>#REF!</v>
      </c>
      <c r="Q27" s="62"/>
    </row>
    <row r="28" spans="1:17">
      <c r="A28" s="13"/>
      <c r="B28" s="13"/>
      <c r="D28" s="13"/>
      <c r="E28" s="14"/>
      <c r="F28" s="13"/>
      <c r="G28" s="15"/>
      <c r="H28" s="13"/>
      <c r="I28" s="13"/>
      <c r="J28" s="54" t="s">
        <v>213</v>
      </c>
      <c r="K28" s="56">
        <v>4500</v>
      </c>
      <c r="L28" s="17">
        <v>4500</v>
      </c>
      <c r="M28" s="13" t="s">
        <v>194</v>
      </c>
      <c r="N28" s="14"/>
      <c r="O28" s="13"/>
      <c r="P28" s="18" t="str">
        <f>IF(C27="","",IF(COUNTIF(Trazabilidad!$A$5:$A$60,C27)&gt;0,"✓","Revisar"))</f>
        <v>Revisar</v>
      </c>
      <c r="Q28" s="14"/>
    </row>
    <row r="29" spans="1:17">
      <c r="A29" s="13"/>
      <c r="B29" s="13"/>
      <c r="C29" s="14"/>
      <c r="D29" s="13"/>
      <c r="E29" s="14"/>
      <c r="F29" s="13"/>
      <c r="G29" s="15"/>
      <c r="H29" s="13"/>
      <c r="I29" s="13"/>
      <c r="J29" s="13"/>
      <c r="K29" s="16"/>
      <c r="L29" s="17" t="str">
        <f t="shared" si="0"/>
        <v/>
      </c>
      <c r="M29" s="13"/>
      <c r="N29" s="14"/>
      <c r="O29" s="13"/>
      <c r="P29" s="18" t="str">
        <f>IF(C29="","",IF(COUNTIF(Trazabilidad!$A$5:$A$60,C29)&gt;0,"✓","Revisar"))</f>
        <v/>
      </c>
      <c r="Q29" s="14"/>
    </row>
    <row r="30" spans="1:17">
      <c r="A30" s="13"/>
      <c r="B30" s="13"/>
      <c r="C30" s="14"/>
      <c r="D30" s="13"/>
      <c r="E30" s="14"/>
      <c r="F30" s="13"/>
      <c r="G30" s="15"/>
      <c r="H30" s="13"/>
      <c r="I30" s="13"/>
      <c r="J30" s="13"/>
      <c r="K30" s="16"/>
      <c r="L30" s="17" t="str">
        <f t="shared" ref="L30:L61" si="1">IF(OR(G30="",K30=""),"",G30*K30)</f>
        <v/>
      </c>
      <c r="M30" s="13"/>
      <c r="N30" s="14"/>
      <c r="O30" s="13"/>
      <c r="P30" s="18" t="str">
        <f>IF(C30="","",IF(COUNTIF(Trazabilidad!$A$5:$A$60,C30)&gt;0,"✓","Revisar"))</f>
        <v/>
      </c>
      <c r="Q30" s="14"/>
    </row>
    <row r="31" spans="1:17">
      <c r="A31" s="13"/>
      <c r="B31" s="13"/>
      <c r="C31" s="14"/>
      <c r="D31" s="13"/>
      <c r="E31" s="14"/>
      <c r="F31" s="13"/>
      <c r="G31" s="15"/>
      <c r="H31" s="13"/>
      <c r="I31" s="13"/>
      <c r="J31" s="13"/>
      <c r="K31" s="16"/>
      <c r="L31" s="17" t="str">
        <f t="shared" si="1"/>
        <v/>
      </c>
      <c r="M31" s="13"/>
      <c r="N31" s="14"/>
      <c r="O31" s="13"/>
      <c r="P31" s="18" t="str">
        <f>IF(C31="","",IF(COUNTIF(Trazabilidad!$A$5:$A$60,C31)&gt;0,"✓","Revisar"))</f>
        <v/>
      </c>
      <c r="Q31" s="14"/>
    </row>
    <row r="32" spans="1:17">
      <c r="A32" s="13"/>
      <c r="B32" s="13"/>
      <c r="C32" s="14"/>
      <c r="D32" s="13"/>
      <c r="E32" s="14"/>
      <c r="F32" s="13"/>
      <c r="G32" s="15"/>
      <c r="H32" s="13"/>
      <c r="I32" s="13"/>
      <c r="J32" s="13"/>
      <c r="K32" s="16"/>
      <c r="L32" s="17" t="str">
        <f t="shared" si="1"/>
        <v/>
      </c>
      <c r="M32" s="13"/>
      <c r="N32" s="14"/>
      <c r="O32" s="13"/>
      <c r="P32" s="18" t="str">
        <f>IF(C32="","",IF(COUNTIF(Trazabilidad!$A$5:$A$60,C32)&gt;0,"✓","Revisar"))</f>
        <v/>
      </c>
      <c r="Q32" s="14"/>
    </row>
    <row r="33" spans="1:17">
      <c r="A33" s="13"/>
      <c r="B33" s="13"/>
      <c r="C33" s="14"/>
      <c r="D33" s="13"/>
      <c r="E33" s="14"/>
      <c r="F33" s="13"/>
      <c r="G33" s="15"/>
      <c r="H33" s="13"/>
      <c r="I33" s="13"/>
      <c r="J33" s="13"/>
      <c r="K33" s="16"/>
      <c r="L33" s="17" t="str">
        <f t="shared" si="1"/>
        <v/>
      </c>
      <c r="M33" s="13"/>
      <c r="N33" s="14"/>
      <c r="O33" s="13"/>
      <c r="P33" s="18" t="str">
        <f>IF(C33="","",IF(COUNTIF(Trazabilidad!$A$5:$A$60,C33)&gt;0,"✓","Revisar"))</f>
        <v/>
      </c>
      <c r="Q33" s="14"/>
    </row>
    <row r="34" spans="1:17">
      <c r="A34" s="13"/>
      <c r="B34" s="13"/>
      <c r="C34" s="14"/>
      <c r="D34" s="13"/>
      <c r="E34" s="14"/>
      <c r="F34" s="13"/>
      <c r="G34" s="15"/>
      <c r="H34" s="13"/>
      <c r="I34" s="13"/>
      <c r="J34" s="13"/>
      <c r="K34" s="16"/>
      <c r="L34" s="17" t="str">
        <f t="shared" si="1"/>
        <v/>
      </c>
      <c r="M34" s="13"/>
      <c r="N34" s="14"/>
      <c r="O34" s="13"/>
      <c r="P34" s="18" t="str">
        <f>IF(C34="","",IF(COUNTIF(Trazabilidad!$A$5:$A$60,C34)&gt;0,"✓","Revisar"))</f>
        <v/>
      </c>
      <c r="Q34" s="14"/>
    </row>
    <row r="35" spans="1:17">
      <c r="A35" s="13"/>
      <c r="B35" s="13"/>
      <c r="C35" s="14"/>
      <c r="D35" s="13"/>
      <c r="E35" s="14"/>
      <c r="F35" s="13"/>
      <c r="G35" s="15"/>
      <c r="H35" s="13"/>
      <c r="I35" s="13"/>
      <c r="J35" s="13"/>
      <c r="K35" s="16"/>
      <c r="L35" s="17" t="str">
        <f t="shared" si="1"/>
        <v/>
      </c>
      <c r="M35" s="13"/>
      <c r="N35" s="14"/>
      <c r="O35" s="13"/>
      <c r="P35" s="18" t="str">
        <f>IF(C35="","",IF(COUNTIF(Trazabilidad!$A$5:$A$60,C35)&gt;0,"✓","Revisar"))</f>
        <v/>
      </c>
      <c r="Q35" s="14"/>
    </row>
    <row r="36" spans="1:17">
      <c r="A36" s="13"/>
      <c r="B36" s="13"/>
      <c r="C36" s="14"/>
      <c r="D36" s="13"/>
      <c r="E36" s="14"/>
      <c r="F36" s="13"/>
      <c r="G36" s="15"/>
      <c r="H36" s="13"/>
      <c r="I36" s="13"/>
      <c r="J36" s="13"/>
      <c r="K36" s="16"/>
      <c r="L36" s="17" t="str">
        <f t="shared" si="1"/>
        <v/>
      </c>
      <c r="M36" s="13"/>
      <c r="N36" s="14"/>
      <c r="O36" s="13"/>
      <c r="P36" s="18" t="str">
        <f>IF(C36="","",IF(COUNTIF(Trazabilidad!$A$5:$A$60,C36)&gt;0,"✓","Revisar"))</f>
        <v/>
      </c>
      <c r="Q36" s="14"/>
    </row>
    <row r="37" spans="1:17">
      <c r="A37" s="13"/>
      <c r="B37" s="13"/>
      <c r="C37" s="14"/>
      <c r="D37" s="13"/>
      <c r="E37" s="14"/>
      <c r="F37" s="13"/>
      <c r="G37" s="15"/>
      <c r="H37" s="13"/>
      <c r="I37" s="13"/>
      <c r="J37" s="13"/>
      <c r="K37" s="16"/>
      <c r="L37" s="17" t="str">
        <f t="shared" si="1"/>
        <v/>
      </c>
      <c r="M37" s="13"/>
      <c r="N37" s="14"/>
      <c r="O37" s="13"/>
      <c r="P37" s="18" t="str">
        <f>IF(C37="","",IF(COUNTIF(Trazabilidad!$A$5:$A$60,C37)&gt;0,"✓","Revisar"))</f>
        <v/>
      </c>
      <c r="Q37" s="14"/>
    </row>
    <row r="38" spans="1:17">
      <c r="A38" s="13"/>
      <c r="B38" s="13"/>
      <c r="C38" s="14"/>
      <c r="D38" s="13"/>
      <c r="E38" s="14"/>
      <c r="F38" s="13"/>
      <c r="G38" s="15"/>
      <c r="H38" s="13"/>
      <c r="I38" s="13"/>
      <c r="J38" s="13"/>
      <c r="K38" s="16"/>
      <c r="L38" s="17" t="str">
        <f t="shared" si="1"/>
        <v/>
      </c>
      <c r="M38" s="13"/>
      <c r="N38" s="14"/>
      <c r="O38" s="13"/>
      <c r="P38" s="18" t="str">
        <f>IF(C38="","",IF(COUNTIF(Trazabilidad!$A$5:$A$60,C38)&gt;0,"✓","Revisar"))</f>
        <v/>
      </c>
      <c r="Q38" s="14"/>
    </row>
    <row r="39" spans="1:17">
      <c r="A39" s="13"/>
      <c r="B39" s="13"/>
      <c r="C39" s="14"/>
      <c r="D39" s="13"/>
      <c r="E39" s="14"/>
      <c r="F39" s="13"/>
      <c r="G39" s="15"/>
      <c r="H39" s="13"/>
      <c r="I39" s="13"/>
      <c r="J39" s="13"/>
      <c r="K39" s="16"/>
      <c r="L39" s="17" t="str">
        <f t="shared" si="1"/>
        <v/>
      </c>
      <c r="M39" s="13"/>
      <c r="N39" s="14"/>
      <c r="O39" s="13"/>
      <c r="P39" s="18" t="str">
        <f>IF(C39="","",IF(COUNTIF(Trazabilidad!$A$5:$A$60,C39)&gt;0,"✓","Revisar"))</f>
        <v/>
      </c>
      <c r="Q39" s="14"/>
    </row>
    <row r="40" spans="1:17">
      <c r="A40" s="13"/>
      <c r="B40" s="13"/>
      <c r="C40" s="14"/>
      <c r="D40" s="13"/>
      <c r="E40" s="14"/>
      <c r="F40" s="13"/>
      <c r="G40" s="15"/>
      <c r="H40" s="13"/>
      <c r="I40" s="13"/>
      <c r="J40" s="13"/>
      <c r="K40" s="16"/>
      <c r="L40" s="17" t="str">
        <f t="shared" si="1"/>
        <v/>
      </c>
      <c r="M40" s="13"/>
      <c r="N40" s="14"/>
      <c r="O40" s="13"/>
      <c r="P40" s="18" t="str">
        <f>IF(C40="","",IF(COUNTIF(Trazabilidad!$A$5:$A$60,C40)&gt;0,"✓","Revisar"))</f>
        <v/>
      </c>
      <c r="Q40" s="14"/>
    </row>
    <row r="41" spans="1:17">
      <c r="A41" s="13"/>
      <c r="B41" s="13"/>
      <c r="C41" s="14"/>
      <c r="D41" s="13"/>
      <c r="E41" s="14"/>
      <c r="F41" s="13"/>
      <c r="G41" s="15"/>
      <c r="H41" s="13"/>
      <c r="I41" s="13"/>
      <c r="J41" s="13"/>
      <c r="K41" s="16"/>
      <c r="L41" s="17" t="str">
        <f t="shared" si="1"/>
        <v/>
      </c>
      <c r="M41" s="13"/>
      <c r="N41" s="14"/>
      <c r="O41" s="13"/>
      <c r="P41" s="18" t="str">
        <f>IF(C41="","",IF(COUNTIF(Trazabilidad!$A$5:$A$60,C41)&gt;0,"✓","Revisar"))</f>
        <v/>
      </c>
      <c r="Q41" s="14"/>
    </row>
    <row r="42" spans="1:17">
      <c r="A42" s="13"/>
      <c r="B42" s="13"/>
      <c r="C42" s="14"/>
      <c r="D42" s="13"/>
      <c r="E42" s="14"/>
      <c r="F42" s="13"/>
      <c r="G42" s="15"/>
      <c r="H42" s="13"/>
      <c r="I42" s="13"/>
      <c r="J42" s="13"/>
      <c r="K42" s="16"/>
      <c r="L42" s="17" t="str">
        <f t="shared" si="1"/>
        <v/>
      </c>
      <c r="M42" s="13"/>
      <c r="N42" s="14"/>
      <c r="O42" s="13"/>
      <c r="P42" s="18" t="str">
        <f>IF(C42="","",IF(COUNTIF(Trazabilidad!$A$5:$A$60,C42)&gt;0,"✓","Revisar"))</f>
        <v/>
      </c>
      <c r="Q42" s="14"/>
    </row>
    <row r="43" spans="1:17">
      <c r="A43" s="13"/>
      <c r="B43" s="13"/>
      <c r="C43" s="14"/>
      <c r="D43" s="13"/>
      <c r="E43" s="14"/>
      <c r="F43" s="13"/>
      <c r="G43" s="15"/>
      <c r="H43" s="13"/>
      <c r="I43" s="13"/>
      <c r="J43" s="13"/>
      <c r="K43" s="16"/>
      <c r="L43" s="17" t="str">
        <f t="shared" si="1"/>
        <v/>
      </c>
      <c r="M43" s="13"/>
      <c r="N43" s="14"/>
      <c r="O43" s="13"/>
      <c r="P43" s="18" t="str">
        <f>IF(C43="","",IF(COUNTIF(Trazabilidad!$A$5:$A$60,C43)&gt;0,"✓","Revisar"))</f>
        <v/>
      </c>
      <c r="Q43" s="14"/>
    </row>
    <row r="44" spans="1:17">
      <c r="A44" s="13"/>
      <c r="B44" s="13"/>
      <c r="C44" s="14"/>
      <c r="D44" s="13"/>
      <c r="E44" s="14"/>
      <c r="F44" s="13"/>
      <c r="G44" s="15"/>
      <c r="H44" s="13"/>
      <c r="I44" s="13"/>
      <c r="J44" s="13"/>
      <c r="K44" s="16"/>
      <c r="L44" s="17" t="str">
        <f t="shared" si="1"/>
        <v/>
      </c>
      <c r="M44" s="13"/>
      <c r="N44" s="14"/>
      <c r="O44" s="13"/>
      <c r="P44" s="18" t="str">
        <f>IF(C44="","",IF(COUNTIF(Trazabilidad!$A$5:$A$60,C44)&gt;0,"✓","Revisar"))</f>
        <v/>
      </c>
      <c r="Q44" s="14"/>
    </row>
    <row r="45" spans="1:17">
      <c r="A45" s="13"/>
      <c r="B45" s="13"/>
      <c r="C45" s="14"/>
      <c r="D45" s="13"/>
      <c r="E45" s="14"/>
      <c r="F45" s="13"/>
      <c r="G45" s="15"/>
      <c r="H45" s="13"/>
      <c r="I45" s="13"/>
      <c r="J45" s="13"/>
      <c r="K45" s="16"/>
      <c r="L45" s="17" t="str">
        <f t="shared" si="1"/>
        <v/>
      </c>
      <c r="M45" s="13"/>
      <c r="N45" s="14"/>
      <c r="O45" s="13"/>
      <c r="P45" s="18" t="str">
        <f>IF(C45="","",IF(COUNTIF(Trazabilidad!$A$5:$A$60,C45)&gt;0,"✓","Revisar"))</f>
        <v/>
      </c>
      <c r="Q45" s="14"/>
    </row>
    <row r="46" spans="1:17">
      <c r="A46" s="13"/>
      <c r="B46" s="13"/>
      <c r="C46" s="14"/>
      <c r="D46" s="13"/>
      <c r="E46" s="14"/>
      <c r="F46" s="13"/>
      <c r="G46" s="15"/>
      <c r="H46" s="13"/>
      <c r="I46" s="13"/>
      <c r="J46" s="13"/>
      <c r="K46" s="16"/>
      <c r="L46" s="17" t="str">
        <f t="shared" si="1"/>
        <v/>
      </c>
      <c r="M46" s="13"/>
      <c r="N46" s="14"/>
      <c r="O46" s="13"/>
      <c r="P46" s="18" t="str">
        <f>IF(C46="","",IF(COUNTIF(Trazabilidad!$A$5:$A$60,C46)&gt;0,"✓","Revisar"))</f>
        <v/>
      </c>
      <c r="Q46" s="14"/>
    </row>
    <row r="47" spans="1:17">
      <c r="A47" s="13"/>
      <c r="B47" s="13"/>
      <c r="C47" s="14"/>
      <c r="D47" s="13"/>
      <c r="E47" s="14"/>
      <c r="F47" s="13"/>
      <c r="G47" s="15"/>
      <c r="H47" s="13"/>
      <c r="I47" s="13"/>
      <c r="J47" s="13"/>
      <c r="K47" s="16"/>
      <c r="L47" s="17" t="str">
        <f t="shared" si="1"/>
        <v/>
      </c>
      <c r="M47" s="13"/>
      <c r="N47" s="14"/>
      <c r="O47" s="13"/>
      <c r="P47" s="18" t="str">
        <f>IF(C47="","",IF(COUNTIF(Trazabilidad!$A$5:$A$60,C47)&gt;0,"✓","Revisar"))</f>
        <v/>
      </c>
      <c r="Q47" s="14"/>
    </row>
    <row r="48" spans="1:17">
      <c r="A48" s="13"/>
      <c r="B48" s="13"/>
      <c r="C48" s="14"/>
      <c r="D48" s="13"/>
      <c r="E48" s="14"/>
      <c r="F48" s="13"/>
      <c r="G48" s="15"/>
      <c r="H48" s="13"/>
      <c r="I48" s="13"/>
      <c r="J48" s="13"/>
      <c r="K48" s="16"/>
      <c r="L48" s="17" t="str">
        <f t="shared" si="1"/>
        <v/>
      </c>
      <c r="M48" s="13"/>
      <c r="N48" s="14"/>
      <c r="O48" s="13"/>
      <c r="P48" s="18" t="str">
        <f>IF(C48="","",IF(COUNTIF(Trazabilidad!$A$5:$A$60,C48)&gt;0,"✓","Revisar"))</f>
        <v/>
      </c>
      <c r="Q48" s="14"/>
    </row>
    <row r="49" spans="1:17">
      <c r="A49" s="13"/>
      <c r="B49" s="13"/>
      <c r="C49" s="14"/>
      <c r="D49" s="13"/>
      <c r="E49" s="14"/>
      <c r="F49" s="13"/>
      <c r="G49" s="15"/>
      <c r="H49" s="13"/>
      <c r="I49" s="13"/>
      <c r="J49" s="13"/>
      <c r="K49" s="16"/>
      <c r="L49" s="17" t="str">
        <f t="shared" si="1"/>
        <v/>
      </c>
      <c r="M49" s="13"/>
      <c r="N49" s="14"/>
      <c r="O49" s="13"/>
      <c r="P49" s="18" t="str">
        <f>IF(C49="","",IF(COUNTIF(Trazabilidad!$A$5:$A$60,C49)&gt;0,"✓","Revisar"))</f>
        <v/>
      </c>
      <c r="Q49" s="14"/>
    </row>
    <row r="50" spans="1:17">
      <c r="A50" s="13"/>
      <c r="B50" s="13"/>
      <c r="C50" s="14"/>
      <c r="D50" s="13"/>
      <c r="E50" s="14"/>
      <c r="F50" s="13"/>
      <c r="G50" s="15"/>
      <c r="H50" s="13"/>
      <c r="I50" s="13"/>
      <c r="J50" s="13"/>
      <c r="K50" s="16"/>
      <c r="L50" s="17" t="str">
        <f t="shared" si="1"/>
        <v/>
      </c>
      <c r="M50" s="13"/>
      <c r="N50" s="14"/>
      <c r="O50" s="13"/>
      <c r="P50" s="18" t="str">
        <f>IF(C50="","",IF(COUNTIF(Trazabilidad!$A$5:$A$60,C50)&gt;0,"✓","Revisar"))</f>
        <v/>
      </c>
      <c r="Q50" s="14"/>
    </row>
    <row r="51" spans="1:17">
      <c r="A51" s="13"/>
      <c r="B51" s="13"/>
      <c r="C51" s="14"/>
      <c r="D51" s="13"/>
      <c r="E51" s="14"/>
      <c r="F51" s="13"/>
      <c r="G51" s="15"/>
      <c r="H51" s="13"/>
      <c r="I51" s="13"/>
      <c r="J51" s="13"/>
      <c r="K51" s="16"/>
      <c r="L51" s="17" t="str">
        <f t="shared" si="1"/>
        <v/>
      </c>
      <c r="M51" s="13"/>
      <c r="N51" s="14"/>
      <c r="O51" s="13"/>
      <c r="P51" s="18" t="str">
        <f>IF(C51="","",IF(COUNTIF(Trazabilidad!$A$5:$A$60,C51)&gt;0,"✓","Revisar"))</f>
        <v/>
      </c>
      <c r="Q51" s="14"/>
    </row>
    <row r="52" spans="1:17">
      <c r="A52" s="13"/>
      <c r="B52" s="13"/>
      <c r="C52" s="14"/>
      <c r="D52" s="13"/>
      <c r="E52" s="14"/>
      <c r="F52" s="13"/>
      <c r="G52" s="15"/>
      <c r="H52" s="13"/>
      <c r="I52" s="13"/>
      <c r="J52" s="13"/>
      <c r="K52" s="16"/>
      <c r="L52" s="17" t="str">
        <f t="shared" si="1"/>
        <v/>
      </c>
      <c r="M52" s="13"/>
      <c r="N52" s="14"/>
      <c r="O52" s="13"/>
      <c r="P52" s="18" t="str">
        <f>IF(C52="","",IF(COUNTIF(Trazabilidad!$A$5:$A$60,C52)&gt;0,"✓","Revisar"))</f>
        <v/>
      </c>
      <c r="Q52" s="14"/>
    </row>
    <row r="53" spans="1:17">
      <c r="A53" s="13"/>
      <c r="B53" s="13"/>
      <c r="C53" s="14"/>
      <c r="D53" s="13"/>
      <c r="E53" s="14"/>
      <c r="F53" s="13"/>
      <c r="G53" s="15"/>
      <c r="H53" s="13"/>
      <c r="I53" s="13"/>
      <c r="J53" s="13"/>
      <c r="K53" s="16"/>
      <c r="L53" s="17" t="str">
        <f t="shared" si="1"/>
        <v/>
      </c>
      <c r="M53" s="13"/>
      <c r="N53" s="14"/>
      <c r="O53" s="13"/>
      <c r="P53" s="18" t="str">
        <f>IF(C53="","",IF(COUNTIF(Trazabilidad!$A$5:$A$60,C53)&gt;0,"✓","Revisar"))</f>
        <v/>
      </c>
      <c r="Q53" s="14"/>
    </row>
    <row r="54" spans="1:17">
      <c r="A54" s="13"/>
      <c r="B54" s="13"/>
      <c r="C54" s="14"/>
      <c r="D54" s="13"/>
      <c r="E54" s="14"/>
      <c r="F54" s="13"/>
      <c r="G54" s="15"/>
      <c r="H54" s="13"/>
      <c r="I54" s="13"/>
      <c r="J54" s="13"/>
      <c r="K54" s="16"/>
      <c r="L54" s="17" t="str">
        <f t="shared" si="1"/>
        <v/>
      </c>
      <c r="M54" s="13"/>
      <c r="N54" s="14"/>
      <c r="O54" s="13"/>
      <c r="P54" s="18" t="str">
        <f>IF(C54="","",IF(COUNTIF(Trazabilidad!$A$5:$A$60,C54)&gt;0,"✓","Revisar"))</f>
        <v/>
      </c>
      <c r="Q54" s="14"/>
    </row>
    <row r="55" spans="1:17">
      <c r="A55" s="13"/>
      <c r="B55" s="13"/>
      <c r="C55" s="14"/>
      <c r="D55" s="13"/>
      <c r="E55" s="14"/>
      <c r="F55" s="13"/>
      <c r="G55" s="15"/>
      <c r="H55" s="13"/>
      <c r="I55" s="13"/>
      <c r="J55" s="13"/>
      <c r="K55" s="16"/>
      <c r="L55" s="17" t="str">
        <f t="shared" si="1"/>
        <v/>
      </c>
      <c r="M55" s="13"/>
      <c r="N55" s="14"/>
      <c r="O55" s="13"/>
      <c r="P55" s="18" t="str">
        <f>IF(C55="","",IF(COUNTIF(Trazabilidad!$A$5:$A$60,C55)&gt;0,"✓","Revisar"))</f>
        <v/>
      </c>
      <c r="Q55" s="14"/>
    </row>
    <row r="56" spans="1:17">
      <c r="A56" s="13"/>
      <c r="B56" s="13"/>
      <c r="C56" s="14"/>
      <c r="D56" s="13"/>
      <c r="E56" s="14"/>
      <c r="F56" s="13"/>
      <c r="G56" s="15"/>
      <c r="H56" s="13"/>
      <c r="I56" s="13"/>
      <c r="J56" s="13"/>
      <c r="K56" s="16"/>
      <c r="L56" s="17" t="str">
        <f t="shared" si="1"/>
        <v/>
      </c>
      <c r="M56" s="13"/>
      <c r="N56" s="14"/>
      <c r="O56" s="13"/>
      <c r="P56" s="18" t="str">
        <f>IF(C56="","",IF(COUNTIF(Trazabilidad!$A$5:$A$60,C56)&gt;0,"✓","Revisar"))</f>
        <v/>
      </c>
      <c r="Q56" s="14"/>
    </row>
    <row r="57" spans="1:17">
      <c r="A57" s="13"/>
      <c r="B57" s="13"/>
      <c r="C57" s="14"/>
      <c r="D57" s="13"/>
      <c r="E57" s="14"/>
      <c r="F57" s="13"/>
      <c r="G57" s="15"/>
      <c r="H57" s="13"/>
      <c r="I57" s="13"/>
      <c r="J57" s="13"/>
      <c r="K57" s="16"/>
      <c r="L57" s="17" t="str">
        <f t="shared" si="1"/>
        <v/>
      </c>
      <c r="M57" s="13"/>
      <c r="N57" s="14"/>
      <c r="O57" s="13"/>
      <c r="P57" s="18" t="str">
        <f>IF(C57="","",IF(COUNTIF(Trazabilidad!$A$5:$A$60,C57)&gt;0,"✓","Revisar"))</f>
        <v/>
      </c>
      <c r="Q57" s="14"/>
    </row>
    <row r="58" spans="1:17">
      <c r="A58" s="13"/>
      <c r="B58" s="13"/>
      <c r="C58" s="14"/>
      <c r="D58" s="13"/>
      <c r="E58" s="14"/>
      <c r="F58" s="13"/>
      <c r="G58" s="15"/>
      <c r="H58" s="13"/>
      <c r="I58" s="13"/>
      <c r="J58" s="13"/>
      <c r="K58" s="16"/>
      <c r="L58" s="17" t="str">
        <f t="shared" si="1"/>
        <v/>
      </c>
      <c r="M58" s="13"/>
      <c r="N58" s="14"/>
      <c r="O58" s="13"/>
      <c r="P58" s="18" t="str">
        <f>IF(C58="","",IF(COUNTIF(Trazabilidad!$A$5:$A$60,C58)&gt;0,"✓","Revisar"))</f>
        <v/>
      </c>
      <c r="Q58" s="14"/>
    </row>
    <row r="59" spans="1:17">
      <c r="A59" s="13"/>
      <c r="B59" s="13"/>
      <c r="C59" s="14"/>
      <c r="D59" s="13"/>
      <c r="E59" s="14"/>
      <c r="F59" s="13"/>
      <c r="G59" s="15"/>
      <c r="H59" s="13"/>
      <c r="I59" s="13"/>
      <c r="J59" s="13"/>
      <c r="K59" s="16"/>
      <c r="L59" s="17" t="str">
        <f t="shared" si="1"/>
        <v/>
      </c>
      <c r="M59" s="13"/>
      <c r="N59" s="14"/>
      <c r="O59" s="13"/>
      <c r="P59" s="18" t="str">
        <f>IF(C59="","",IF(COUNTIF(Trazabilidad!$A$5:$A$60,C59)&gt;0,"✓","Revisar"))</f>
        <v/>
      </c>
      <c r="Q59" s="14"/>
    </row>
    <row r="60" spans="1:17">
      <c r="A60" s="13"/>
      <c r="B60" s="13"/>
      <c r="C60" s="14"/>
      <c r="D60" s="13"/>
      <c r="E60" s="14"/>
      <c r="F60" s="13"/>
      <c r="G60" s="15"/>
      <c r="H60" s="13"/>
      <c r="I60" s="13"/>
      <c r="J60" s="13"/>
      <c r="K60" s="16"/>
      <c r="L60" s="17" t="str">
        <f t="shared" si="1"/>
        <v/>
      </c>
      <c r="M60" s="13"/>
      <c r="N60" s="14"/>
      <c r="O60" s="13"/>
      <c r="P60" s="18" t="str">
        <f>IF(C60="","",IF(COUNTIF(Trazabilidad!$A$5:$A$60,C60)&gt;0,"✓","Revisar"))</f>
        <v/>
      </c>
      <c r="Q60" s="14"/>
    </row>
    <row r="61" spans="1:17">
      <c r="A61" s="13"/>
      <c r="B61" s="13"/>
      <c r="C61" s="14"/>
      <c r="D61" s="13"/>
      <c r="E61" s="14"/>
      <c r="F61" s="13"/>
      <c r="G61" s="15"/>
      <c r="H61" s="13"/>
      <c r="I61" s="13"/>
      <c r="J61" s="13"/>
      <c r="K61" s="16"/>
      <c r="L61" s="17" t="str">
        <f t="shared" si="1"/>
        <v/>
      </c>
      <c r="M61" s="13"/>
      <c r="N61" s="14"/>
      <c r="O61" s="13"/>
      <c r="P61" s="18" t="str">
        <f>IF(C61="","",IF(COUNTIF(Trazabilidad!$A$5:$A$60,C61)&gt;0,"✓","Revisar"))</f>
        <v/>
      </c>
      <c r="Q61" s="14"/>
    </row>
    <row r="62" spans="1:17">
      <c r="A62" s="13"/>
      <c r="B62" s="13"/>
      <c r="C62" s="14"/>
      <c r="D62" s="13"/>
      <c r="E62" s="14"/>
      <c r="F62" s="13"/>
      <c r="G62" s="15"/>
      <c r="H62" s="13"/>
      <c r="I62" s="13"/>
      <c r="J62" s="13"/>
      <c r="K62" s="16"/>
      <c r="L62" s="17" t="str">
        <f t="shared" ref="L62:L93" si="2">IF(OR(G62="",K62=""),"",G62*K62)</f>
        <v/>
      </c>
      <c r="M62" s="13"/>
      <c r="N62" s="14"/>
      <c r="O62" s="13"/>
      <c r="P62" s="18" t="str">
        <f>IF(C62="","",IF(COUNTIF(Trazabilidad!$A$5:$A$60,C62)&gt;0,"✓","Revisar"))</f>
        <v/>
      </c>
      <c r="Q62" s="14"/>
    </row>
    <row r="63" spans="1:17">
      <c r="A63" s="13"/>
      <c r="B63" s="13"/>
      <c r="C63" s="14"/>
      <c r="D63" s="13"/>
      <c r="E63" s="14"/>
      <c r="F63" s="13"/>
      <c r="G63" s="15"/>
      <c r="H63" s="13"/>
      <c r="I63" s="13"/>
      <c r="J63" s="13"/>
      <c r="K63" s="16"/>
      <c r="L63" s="17" t="str">
        <f t="shared" si="2"/>
        <v/>
      </c>
      <c r="M63" s="13"/>
      <c r="N63" s="14"/>
      <c r="O63" s="13"/>
      <c r="P63" s="18" t="str">
        <f>IF(C63="","",IF(COUNTIF(Trazabilidad!$A$5:$A$60,C63)&gt;0,"✓","Revisar"))</f>
        <v/>
      </c>
      <c r="Q63" s="14"/>
    </row>
    <row r="64" spans="1:17">
      <c r="A64" s="13"/>
      <c r="B64" s="13"/>
      <c r="C64" s="14"/>
      <c r="D64" s="13"/>
      <c r="E64" s="14"/>
      <c r="F64" s="13"/>
      <c r="G64" s="15"/>
      <c r="H64" s="13"/>
      <c r="I64" s="13"/>
      <c r="J64" s="13"/>
      <c r="K64" s="16"/>
      <c r="L64" s="17" t="str">
        <f t="shared" si="2"/>
        <v/>
      </c>
      <c r="M64" s="13"/>
      <c r="N64" s="14"/>
      <c r="O64" s="13"/>
      <c r="P64" s="18" t="str">
        <f>IF(C64="","",IF(COUNTIF(Trazabilidad!$A$5:$A$60,C64)&gt;0,"✓","Revisar"))</f>
        <v/>
      </c>
      <c r="Q64" s="14"/>
    </row>
    <row r="65" spans="1:17">
      <c r="A65" s="13"/>
      <c r="B65" s="13"/>
      <c r="C65" s="14"/>
      <c r="D65" s="13"/>
      <c r="E65" s="14"/>
      <c r="F65" s="13"/>
      <c r="G65" s="15"/>
      <c r="H65" s="13"/>
      <c r="I65" s="13"/>
      <c r="J65" s="13"/>
      <c r="K65" s="16"/>
      <c r="L65" s="17" t="str">
        <f t="shared" si="2"/>
        <v/>
      </c>
      <c r="M65" s="13"/>
      <c r="N65" s="14"/>
      <c r="O65" s="13"/>
      <c r="P65" s="18" t="str">
        <f>IF(C65="","",IF(COUNTIF(Trazabilidad!$A$5:$A$60,C65)&gt;0,"✓","Revisar"))</f>
        <v/>
      </c>
      <c r="Q65" s="14"/>
    </row>
    <row r="66" spans="1:17">
      <c r="A66" s="13"/>
      <c r="B66" s="13"/>
      <c r="C66" s="14"/>
      <c r="D66" s="13"/>
      <c r="E66" s="14"/>
      <c r="F66" s="13"/>
      <c r="G66" s="15"/>
      <c r="H66" s="13"/>
      <c r="I66" s="13"/>
      <c r="J66" s="13"/>
      <c r="K66" s="16"/>
      <c r="L66" s="17" t="str">
        <f t="shared" si="2"/>
        <v/>
      </c>
      <c r="M66" s="13"/>
      <c r="N66" s="14"/>
      <c r="O66" s="13"/>
      <c r="P66" s="18" t="str">
        <f>IF(C66="","",IF(COUNTIF(Trazabilidad!$A$5:$A$60,C66)&gt;0,"✓","Revisar"))</f>
        <v/>
      </c>
      <c r="Q66" s="14"/>
    </row>
    <row r="67" spans="1:17">
      <c r="A67" s="13"/>
      <c r="B67" s="13"/>
      <c r="C67" s="14"/>
      <c r="D67" s="13"/>
      <c r="E67" s="14"/>
      <c r="F67" s="13"/>
      <c r="G67" s="15"/>
      <c r="H67" s="13"/>
      <c r="I67" s="13"/>
      <c r="J67" s="13"/>
      <c r="K67" s="16"/>
      <c r="L67" s="17" t="str">
        <f t="shared" si="2"/>
        <v/>
      </c>
      <c r="M67" s="13"/>
      <c r="N67" s="14"/>
      <c r="O67" s="13"/>
      <c r="P67" s="18" t="str">
        <f>IF(C67="","",IF(COUNTIF(Trazabilidad!$A$5:$A$60,C67)&gt;0,"✓","Revisar"))</f>
        <v/>
      </c>
      <c r="Q67" s="14"/>
    </row>
    <row r="68" spans="1:17">
      <c r="A68" s="13"/>
      <c r="B68" s="13"/>
      <c r="C68" s="14"/>
      <c r="D68" s="13"/>
      <c r="E68" s="14"/>
      <c r="F68" s="13"/>
      <c r="G68" s="15"/>
      <c r="H68" s="13"/>
      <c r="I68" s="13"/>
      <c r="J68" s="13"/>
      <c r="K68" s="16"/>
      <c r="L68" s="17" t="str">
        <f t="shared" si="2"/>
        <v/>
      </c>
      <c r="M68" s="13"/>
      <c r="N68" s="14"/>
      <c r="O68" s="13"/>
      <c r="P68" s="18" t="str">
        <f>IF(C68="","",IF(COUNTIF(Trazabilidad!$A$5:$A$60,C68)&gt;0,"✓","Revisar"))</f>
        <v/>
      </c>
      <c r="Q68" s="14"/>
    </row>
    <row r="69" spans="1:17">
      <c r="A69" s="13"/>
      <c r="B69" s="13"/>
      <c r="C69" s="14"/>
      <c r="D69" s="13"/>
      <c r="E69" s="14"/>
      <c r="F69" s="13"/>
      <c r="G69" s="15"/>
      <c r="H69" s="13"/>
      <c r="I69" s="13"/>
      <c r="J69" s="13"/>
      <c r="K69" s="16"/>
      <c r="L69" s="17" t="str">
        <f t="shared" si="2"/>
        <v/>
      </c>
      <c r="M69" s="13"/>
      <c r="N69" s="14"/>
      <c r="O69" s="13"/>
      <c r="P69" s="18" t="str">
        <f>IF(C69="","",IF(COUNTIF(Trazabilidad!$A$5:$A$60,C69)&gt;0,"✓","Revisar"))</f>
        <v/>
      </c>
      <c r="Q69" s="14"/>
    </row>
    <row r="70" spans="1:17">
      <c r="A70" s="13"/>
      <c r="B70" s="13"/>
      <c r="C70" s="14"/>
      <c r="D70" s="13"/>
      <c r="E70" s="14"/>
      <c r="F70" s="13"/>
      <c r="G70" s="15"/>
      <c r="H70" s="13"/>
      <c r="I70" s="13"/>
      <c r="J70" s="13"/>
      <c r="K70" s="16"/>
      <c r="L70" s="17" t="str">
        <f t="shared" si="2"/>
        <v/>
      </c>
      <c r="M70" s="13"/>
      <c r="N70" s="14"/>
      <c r="O70" s="13"/>
      <c r="P70" s="18" t="str">
        <f>IF(C70="","",IF(COUNTIF(Trazabilidad!$A$5:$A$60,C70)&gt;0,"✓","Revisar"))</f>
        <v/>
      </c>
      <c r="Q70" s="14"/>
    </row>
    <row r="71" spans="1:17">
      <c r="A71" s="13"/>
      <c r="B71" s="13"/>
      <c r="C71" s="14"/>
      <c r="D71" s="13"/>
      <c r="E71" s="14"/>
      <c r="F71" s="13"/>
      <c r="G71" s="15"/>
      <c r="H71" s="13"/>
      <c r="I71" s="13"/>
      <c r="J71" s="13"/>
      <c r="K71" s="16"/>
      <c r="L71" s="17" t="str">
        <f t="shared" si="2"/>
        <v/>
      </c>
      <c r="M71" s="13"/>
      <c r="N71" s="14"/>
      <c r="O71" s="13"/>
      <c r="P71" s="18" t="str">
        <f>IF(C71="","",IF(COUNTIF(Trazabilidad!$A$5:$A$60,C71)&gt;0,"✓","Revisar"))</f>
        <v/>
      </c>
      <c r="Q71" s="14"/>
    </row>
    <row r="72" spans="1:17">
      <c r="A72" s="13"/>
      <c r="B72" s="13"/>
      <c r="C72" s="14"/>
      <c r="D72" s="13"/>
      <c r="E72" s="14"/>
      <c r="F72" s="13"/>
      <c r="G72" s="15"/>
      <c r="H72" s="13"/>
      <c r="I72" s="13"/>
      <c r="J72" s="13"/>
      <c r="K72" s="16"/>
      <c r="L72" s="17" t="str">
        <f t="shared" si="2"/>
        <v/>
      </c>
      <c r="M72" s="13"/>
      <c r="N72" s="14"/>
      <c r="O72" s="13"/>
      <c r="P72" s="18" t="str">
        <f>IF(C72="","",IF(COUNTIF(Trazabilidad!$A$5:$A$60,C72)&gt;0,"✓","Revisar"))</f>
        <v/>
      </c>
      <c r="Q72" s="14"/>
    </row>
    <row r="73" spans="1:17">
      <c r="A73" s="13"/>
      <c r="B73" s="13"/>
      <c r="C73" s="14"/>
      <c r="D73" s="13"/>
      <c r="E73" s="14"/>
      <c r="F73" s="13"/>
      <c r="G73" s="15"/>
      <c r="H73" s="13"/>
      <c r="I73" s="13"/>
      <c r="J73" s="13"/>
      <c r="K73" s="16"/>
      <c r="L73" s="17" t="str">
        <f t="shared" si="2"/>
        <v/>
      </c>
      <c r="M73" s="13"/>
      <c r="N73" s="14"/>
      <c r="O73" s="13"/>
      <c r="P73" s="18" t="str">
        <f>IF(C73="","",IF(COUNTIF(Trazabilidad!$A$5:$A$60,C73)&gt;0,"✓","Revisar"))</f>
        <v/>
      </c>
      <c r="Q73" s="14"/>
    </row>
    <row r="74" spans="1:17">
      <c r="A74" s="13"/>
      <c r="B74" s="13"/>
      <c r="C74" s="14"/>
      <c r="D74" s="13"/>
      <c r="E74" s="14"/>
      <c r="F74" s="13"/>
      <c r="G74" s="15"/>
      <c r="H74" s="13"/>
      <c r="I74" s="13"/>
      <c r="J74" s="13"/>
      <c r="K74" s="16"/>
      <c r="L74" s="17" t="str">
        <f t="shared" si="2"/>
        <v/>
      </c>
      <c r="M74" s="13"/>
      <c r="N74" s="14"/>
      <c r="O74" s="13"/>
      <c r="P74" s="18" t="str">
        <f>IF(C74="","",IF(COUNTIF(Trazabilidad!$A$5:$A$60,C74)&gt;0,"✓","Revisar"))</f>
        <v/>
      </c>
      <c r="Q74" s="14"/>
    </row>
    <row r="75" spans="1:17">
      <c r="A75" s="13"/>
      <c r="B75" s="13"/>
      <c r="C75" s="14"/>
      <c r="D75" s="13"/>
      <c r="E75" s="14"/>
      <c r="F75" s="13"/>
      <c r="G75" s="15"/>
      <c r="H75" s="13"/>
      <c r="I75" s="13"/>
      <c r="J75" s="13"/>
      <c r="K75" s="16"/>
      <c r="L75" s="17" t="str">
        <f t="shared" si="2"/>
        <v/>
      </c>
      <c r="M75" s="13"/>
      <c r="N75" s="14"/>
      <c r="O75" s="13"/>
      <c r="P75" s="18" t="str">
        <f>IF(C75="","",IF(COUNTIF(Trazabilidad!$A$5:$A$60,C75)&gt;0,"✓","Revisar"))</f>
        <v/>
      </c>
      <c r="Q75" s="14"/>
    </row>
    <row r="76" spans="1:17">
      <c r="A76" s="13"/>
      <c r="B76" s="13"/>
      <c r="C76" s="14"/>
      <c r="D76" s="13"/>
      <c r="E76" s="14"/>
      <c r="F76" s="13"/>
      <c r="G76" s="15"/>
      <c r="H76" s="13"/>
      <c r="I76" s="13"/>
      <c r="J76" s="13"/>
      <c r="K76" s="16"/>
      <c r="L76" s="17" t="str">
        <f t="shared" si="2"/>
        <v/>
      </c>
      <c r="M76" s="13"/>
      <c r="N76" s="14"/>
      <c r="O76" s="13"/>
      <c r="P76" s="18" t="str">
        <f>IF(C76="","",IF(COUNTIF(Trazabilidad!$A$5:$A$60,C76)&gt;0,"✓","Revisar"))</f>
        <v/>
      </c>
      <c r="Q76" s="14"/>
    </row>
    <row r="77" spans="1:17">
      <c r="A77" s="13"/>
      <c r="B77" s="13"/>
      <c r="C77" s="14"/>
      <c r="D77" s="13"/>
      <c r="E77" s="14"/>
      <c r="F77" s="13"/>
      <c r="G77" s="15"/>
      <c r="H77" s="13"/>
      <c r="I77" s="13"/>
      <c r="J77" s="13"/>
      <c r="K77" s="16"/>
      <c r="L77" s="17" t="str">
        <f t="shared" si="2"/>
        <v/>
      </c>
      <c r="M77" s="13"/>
      <c r="N77" s="14"/>
      <c r="O77" s="13"/>
      <c r="P77" s="18" t="str">
        <f>IF(C77="","",IF(COUNTIF(Trazabilidad!$A$5:$A$60,C77)&gt;0,"✓","Revisar"))</f>
        <v/>
      </c>
      <c r="Q77" s="14"/>
    </row>
    <row r="78" spans="1:17">
      <c r="A78" s="13"/>
      <c r="B78" s="13"/>
      <c r="C78" s="14"/>
      <c r="D78" s="13"/>
      <c r="E78" s="14"/>
      <c r="F78" s="13"/>
      <c r="G78" s="15"/>
      <c r="H78" s="13"/>
      <c r="I78" s="13"/>
      <c r="J78" s="13"/>
      <c r="K78" s="16"/>
      <c r="L78" s="17" t="str">
        <f t="shared" si="2"/>
        <v/>
      </c>
      <c r="M78" s="13"/>
      <c r="N78" s="14"/>
      <c r="O78" s="13"/>
      <c r="P78" s="18" t="str">
        <f>IF(C78="","",IF(COUNTIF(Trazabilidad!$A$5:$A$60,C78)&gt;0,"✓","Revisar"))</f>
        <v/>
      </c>
      <c r="Q78" s="14"/>
    </row>
    <row r="79" spans="1:17">
      <c r="A79" s="13"/>
      <c r="B79" s="13"/>
      <c r="C79" s="14"/>
      <c r="D79" s="13"/>
      <c r="E79" s="14"/>
      <c r="F79" s="13"/>
      <c r="G79" s="15"/>
      <c r="H79" s="13"/>
      <c r="I79" s="13"/>
      <c r="J79" s="13"/>
      <c r="K79" s="16"/>
      <c r="L79" s="17" t="str">
        <f t="shared" si="2"/>
        <v/>
      </c>
      <c r="M79" s="13"/>
      <c r="N79" s="14"/>
      <c r="O79" s="13"/>
      <c r="P79" s="18" t="str">
        <f>IF(C79="","",IF(COUNTIF(Trazabilidad!$A$5:$A$60,C79)&gt;0,"✓","Revisar"))</f>
        <v/>
      </c>
      <c r="Q79" s="14"/>
    </row>
    <row r="80" spans="1:17">
      <c r="A80" s="13"/>
      <c r="B80" s="13"/>
      <c r="C80" s="14"/>
      <c r="D80" s="13"/>
      <c r="E80" s="14"/>
      <c r="F80" s="13"/>
      <c r="G80" s="15"/>
      <c r="H80" s="13"/>
      <c r="I80" s="13"/>
      <c r="J80" s="13"/>
      <c r="K80" s="16"/>
      <c r="L80" s="17" t="str">
        <f t="shared" si="2"/>
        <v/>
      </c>
      <c r="M80" s="13"/>
      <c r="N80" s="14"/>
      <c r="O80" s="13"/>
      <c r="P80" s="18" t="str">
        <f>IF(C80="","",IF(COUNTIF(Trazabilidad!$A$5:$A$60,C80)&gt;0,"✓","Revisar"))</f>
        <v/>
      </c>
      <c r="Q80" s="14"/>
    </row>
    <row r="81" spans="1:17">
      <c r="A81" s="13"/>
      <c r="B81" s="13"/>
      <c r="C81" s="14"/>
      <c r="D81" s="13"/>
      <c r="E81" s="14"/>
      <c r="F81" s="13"/>
      <c r="G81" s="15"/>
      <c r="H81" s="13"/>
      <c r="I81" s="13"/>
      <c r="J81" s="13"/>
      <c r="K81" s="16"/>
      <c r="L81" s="17" t="str">
        <f t="shared" si="2"/>
        <v/>
      </c>
      <c r="M81" s="13"/>
      <c r="N81" s="14"/>
      <c r="O81" s="13"/>
      <c r="P81" s="18" t="str">
        <f>IF(C81="","",IF(COUNTIF(Trazabilidad!$A$5:$A$60,C81)&gt;0,"✓","Revisar"))</f>
        <v/>
      </c>
      <c r="Q81" s="14"/>
    </row>
    <row r="82" spans="1:17">
      <c r="A82" s="13"/>
      <c r="B82" s="13"/>
      <c r="C82" s="14"/>
      <c r="D82" s="13"/>
      <c r="E82" s="14"/>
      <c r="F82" s="13"/>
      <c r="G82" s="15"/>
      <c r="H82" s="13"/>
      <c r="I82" s="13"/>
      <c r="J82" s="13"/>
      <c r="K82" s="16"/>
      <c r="L82" s="17" t="str">
        <f t="shared" si="2"/>
        <v/>
      </c>
      <c r="M82" s="13"/>
      <c r="N82" s="14"/>
      <c r="O82" s="13"/>
      <c r="P82" s="18" t="str">
        <f>IF(C82="","",IF(COUNTIF(Trazabilidad!$A$5:$A$60,C82)&gt;0,"✓","Revisar"))</f>
        <v/>
      </c>
      <c r="Q82" s="14"/>
    </row>
    <row r="83" spans="1:17">
      <c r="A83" s="13"/>
      <c r="B83" s="13"/>
      <c r="C83" s="14"/>
      <c r="D83" s="13"/>
      <c r="E83" s="14"/>
      <c r="F83" s="13"/>
      <c r="G83" s="15"/>
      <c r="H83" s="13"/>
      <c r="I83" s="13"/>
      <c r="J83" s="13"/>
      <c r="K83" s="16"/>
      <c r="L83" s="17" t="str">
        <f t="shared" si="2"/>
        <v/>
      </c>
      <c r="M83" s="13"/>
      <c r="N83" s="14"/>
      <c r="O83" s="13"/>
      <c r="P83" s="18" t="str">
        <f>IF(C83="","",IF(COUNTIF(Trazabilidad!$A$5:$A$60,C83)&gt;0,"✓","Revisar"))</f>
        <v/>
      </c>
      <c r="Q83" s="14"/>
    </row>
    <row r="84" spans="1:17">
      <c r="A84" s="13"/>
      <c r="B84" s="13"/>
      <c r="C84" s="14"/>
      <c r="D84" s="13"/>
      <c r="E84" s="14"/>
      <c r="F84" s="13"/>
      <c r="G84" s="15"/>
      <c r="H84" s="13"/>
      <c r="I84" s="13"/>
      <c r="J84" s="13"/>
      <c r="K84" s="16"/>
      <c r="L84" s="17" t="str">
        <f t="shared" si="2"/>
        <v/>
      </c>
      <c r="M84" s="13"/>
      <c r="N84" s="14"/>
      <c r="O84" s="13"/>
      <c r="P84" s="18" t="str">
        <f>IF(C84="","",IF(COUNTIF(Trazabilidad!$A$5:$A$60,C84)&gt;0,"✓","Revisar"))</f>
        <v/>
      </c>
      <c r="Q84" s="14"/>
    </row>
    <row r="85" spans="1:17">
      <c r="A85" s="13"/>
      <c r="B85" s="13"/>
      <c r="C85" s="14"/>
      <c r="D85" s="13"/>
      <c r="E85" s="14"/>
      <c r="F85" s="13"/>
      <c r="G85" s="15"/>
      <c r="H85" s="13"/>
      <c r="I85" s="13"/>
      <c r="J85" s="13"/>
      <c r="K85" s="16"/>
      <c r="L85" s="17" t="str">
        <f t="shared" si="2"/>
        <v/>
      </c>
      <c r="M85" s="13"/>
      <c r="N85" s="14"/>
      <c r="O85" s="13"/>
      <c r="P85" s="18" t="str">
        <f>IF(C85="","",IF(COUNTIF(Trazabilidad!$A$5:$A$60,C85)&gt;0,"✓","Revisar"))</f>
        <v/>
      </c>
      <c r="Q85" s="14"/>
    </row>
    <row r="86" spans="1:17">
      <c r="A86" s="13"/>
      <c r="B86" s="13"/>
      <c r="C86" s="14"/>
      <c r="D86" s="13"/>
      <c r="E86" s="14"/>
      <c r="F86" s="13"/>
      <c r="G86" s="15"/>
      <c r="H86" s="13"/>
      <c r="I86" s="13"/>
      <c r="J86" s="13"/>
      <c r="K86" s="16"/>
      <c r="L86" s="17" t="str">
        <f t="shared" si="2"/>
        <v/>
      </c>
      <c r="M86" s="13"/>
      <c r="N86" s="14"/>
      <c r="O86" s="13"/>
      <c r="P86" s="18" t="str">
        <f>IF(C86="","",IF(COUNTIF(Trazabilidad!$A$5:$A$60,C86)&gt;0,"✓","Revisar"))</f>
        <v/>
      </c>
      <c r="Q86" s="14"/>
    </row>
    <row r="87" spans="1:17">
      <c r="A87" s="13"/>
      <c r="B87" s="13"/>
      <c r="C87" s="14"/>
      <c r="D87" s="13"/>
      <c r="E87" s="14"/>
      <c r="F87" s="13"/>
      <c r="G87" s="15"/>
      <c r="H87" s="13"/>
      <c r="I87" s="13"/>
      <c r="J87" s="13"/>
      <c r="K87" s="16"/>
      <c r="L87" s="17" t="str">
        <f t="shared" si="2"/>
        <v/>
      </c>
      <c r="M87" s="13"/>
      <c r="N87" s="14"/>
      <c r="O87" s="13"/>
      <c r="P87" s="18" t="str">
        <f>IF(C87="","",IF(COUNTIF(Trazabilidad!$A$5:$A$60,C87)&gt;0,"✓","Revisar"))</f>
        <v/>
      </c>
      <c r="Q87" s="14"/>
    </row>
    <row r="88" spans="1:17">
      <c r="A88" s="13"/>
      <c r="B88" s="13"/>
      <c r="C88" s="14"/>
      <c r="D88" s="13"/>
      <c r="E88" s="14"/>
      <c r="F88" s="13"/>
      <c r="G88" s="15"/>
      <c r="H88" s="13"/>
      <c r="I88" s="13"/>
      <c r="J88" s="13"/>
      <c r="K88" s="16"/>
      <c r="L88" s="17" t="str">
        <f t="shared" si="2"/>
        <v/>
      </c>
      <c r="M88" s="13"/>
      <c r="N88" s="14"/>
      <c r="O88" s="13"/>
      <c r="P88" s="18" t="str">
        <f>IF(C88="","",IF(COUNTIF(Trazabilidad!$A$5:$A$60,C88)&gt;0,"✓","Revisar"))</f>
        <v/>
      </c>
      <c r="Q88" s="14"/>
    </row>
    <row r="89" spans="1:17">
      <c r="A89" s="13"/>
      <c r="B89" s="13"/>
      <c r="C89" s="14"/>
      <c r="D89" s="13"/>
      <c r="E89" s="14"/>
      <c r="F89" s="13"/>
      <c r="G89" s="15"/>
      <c r="H89" s="13"/>
      <c r="I89" s="13"/>
      <c r="J89" s="13"/>
      <c r="K89" s="16"/>
      <c r="L89" s="17" t="str">
        <f t="shared" si="2"/>
        <v/>
      </c>
      <c r="M89" s="13"/>
      <c r="N89" s="14"/>
      <c r="O89" s="13"/>
      <c r="P89" s="18" t="str">
        <f>IF(C89="","",IF(COUNTIF(Trazabilidad!$A$5:$A$60,C89)&gt;0,"✓","Revisar"))</f>
        <v/>
      </c>
      <c r="Q89" s="14"/>
    </row>
    <row r="90" spans="1:17">
      <c r="A90" s="13"/>
      <c r="B90" s="13"/>
      <c r="C90" s="14"/>
      <c r="D90" s="13"/>
      <c r="E90" s="14"/>
      <c r="F90" s="13"/>
      <c r="G90" s="15"/>
      <c r="H90" s="13"/>
      <c r="I90" s="13"/>
      <c r="J90" s="13"/>
      <c r="K90" s="16"/>
      <c r="L90" s="17" t="str">
        <f t="shared" si="2"/>
        <v/>
      </c>
      <c r="M90" s="13"/>
      <c r="N90" s="14"/>
      <c r="O90" s="13"/>
      <c r="P90" s="18" t="str">
        <f>IF(C90="","",IF(COUNTIF(Trazabilidad!$A$5:$A$60,C90)&gt;0,"✓","Revisar"))</f>
        <v/>
      </c>
      <c r="Q90" s="14"/>
    </row>
    <row r="91" spans="1:17">
      <c r="A91" s="13"/>
      <c r="B91" s="13"/>
      <c r="C91" s="14"/>
      <c r="D91" s="13"/>
      <c r="E91" s="14"/>
      <c r="F91" s="13"/>
      <c r="G91" s="15"/>
      <c r="H91" s="13"/>
      <c r="I91" s="13"/>
      <c r="J91" s="13"/>
      <c r="K91" s="16"/>
      <c r="L91" s="17" t="str">
        <f t="shared" si="2"/>
        <v/>
      </c>
      <c r="M91" s="13"/>
      <c r="N91" s="14"/>
      <c r="O91" s="13"/>
      <c r="P91" s="18" t="str">
        <f>IF(C91="","",IF(COUNTIF(Trazabilidad!$A$5:$A$60,C91)&gt;0,"✓","Revisar"))</f>
        <v/>
      </c>
      <c r="Q91" s="14"/>
    </row>
    <row r="92" spans="1:17">
      <c r="A92" s="13"/>
      <c r="B92" s="13"/>
      <c r="C92" s="14"/>
      <c r="D92" s="13"/>
      <c r="E92" s="14"/>
      <c r="F92" s="13"/>
      <c r="G92" s="15"/>
      <c r="H92" s="13"/>
      <c r="I92" s="13"/>
      <c r="J92" s="13"/>
      <c r="K92" s="16"/>
      <c r="L92" s="17" t="str">
        <f t="shared" si="2"/>
        <v/>
      </c>
      <c r="M92" s="13"/>
      <c r="N92" s="14"/>
      <c r="O92" s="13"/>
      <c r="P92" s="18" t="str">
        <f>IF(C92="","",IF(COUNTIF(Trazabilidad!$A$5:$A$60,C92)&gt;0,"✓","Revisar"))</f>
        <v/>
      </c>
      <c r="Q92" s="14"/>
    </row>
    <row r="93" spans="1:17">
      <c r="A93" s="13"/>
      <c r="B93" s="13"/>
      <c r="C93" s="14"/>
      <c r="D93" s="13"/>
      <c r="E93" s="14"/>
      <c r="F93" s="13"/>
      <c r="G93" s="15"/>
      <c r="H93" s="13"/>
      <c r="I93" s="13"/>
      <c r="J93" s="13"/>
      <c r="K93" s="16"/>
      <c r="L93" s="17" t="str">
        <f t="shared" si="2"/>
        <v/>
      </c>
      <c r="M93" s="13"/>
      <c r="N93" s="14"/>
      <c r="O93" s="13"/>
      <c r="P93" s="18" t="str">
        <f>IF(C93="","",IF(COUNTIF(Trazabilidad!$A$5:$A$60,C93)&gt;0,"✓","Revisar"))</f>
        <v/>
      </c>
      <c r="Q93" s="14"/>
    </row>
    <row r="94" spans="1:17">
      <c r="A94" s="13"/>
      <c r="B94" s="13"/>
      <c r="C94" s="14"/>
      <c r="D94" s="13"/>
      <c r="E94" s="14"/>
      <c r="F94" s="13"/>
      <c r="G94" s="15"/>
      <c r="H94" s="13"/>
      <c r="I94" s="13"/>
      <c r="J94" s="13"/>
      <c r="K94" s="16"/>
      <c r="L94" s="17" t="str">
        <f t="shared" ref="L94:L125" si="3">IF(OR(G94="",K94=""),"",G94*K94)</f>
        <v/>
      </c>
      <c r="M94" s="13"/>
      <c r="N94" s="14"/>
      <c r="O94" s="13"/>
      <c r="P94" s="18" t="str">
        <f>IF(C94="","",IF(COUNTIF(Trazabilidad!$A$5:$A$60,C94)&gt;0,"✓","Revisar"))</f>
        <v/>
      </c>
      <c r="Q94" s="14"/>
    </row>
    <row r="95" spans="1:17">
      <c r="A95" s="13"/>
      <c r="B95" s="13"/>
      <c r="C95" s="14"/>
      <c r="D95" s="13"/>
      <c r="E95" s="14"/>
      <c r="F95" s="13"/>
      <c r="G95" s="15"/>
      <c r="H95" s="13"/>
      <c r="I95" s="13"/>
      <c r="J95" s="13"/>
      <c r="K95" s="16"/>
      <c r="L95" s="17" t="str">
        <f t="shared" si="3"/>
        <v/>
      </c>
      <c r="M95" s="13"/>
      <c r="N95" s="14"/>
      <c r="O95" s="13"/>
      <c r="P95" s="18" t="str">
        <f>IF(C95="","",IF(COUNTIF(Trazabilidad!$A$5:$A$60,C95)&gt;0,"✓","Revisar"))</f>
        <v/>
      </c>
      <c r="Q95" s="14"/>
    </row>
    <row r="96" spans="1:17">
      <c r="A96" s="13"/>
      <c r="B96" s="13"/>
      <c r="C96" s="14"/>
      <c r="D96" s="13"/>
      <c r="E96" s="14"/>
      <c r="F96" s="13"/>
      <c r="G96" s="15"/>
      <c r="H96" s="13"/>
      <c r="I96" s="13"/>
      <c r="J96" s="13"/>
      <c r="K96" s="16"/>
      <c r="L96" s="17" t="str">
        <f t="shared" si="3"/>
        <v/>
      </c>
      <c r="M96" s="13"/>
      <c r="N96" s="14"/>
      <c r="O96" s="13"/>
      <c r="P96" s="18" t="str">
        <f>IF(C96="","",IF(COUNTIF(Trazabilidad!$A$5:$A$60,C96)&gt;0,"✓","Revisar"))</f>
        <v/>
      </c>
      <c r="Q96" s="14"/>
    </row>
    <row r="97" spans="1:17">
      <c r="A97" s="13"/>
      <c r="B97" s="13"/>
      <c r="C97" s="14"/>
      <c r="D97" s="13"/>
      <c r="E97" s="14"/>
      <c r="F97" s="13"/>
      <c r="G97" s="15"/>
      <c r="H97" s="13"/>
      <c r="I97" s="13"/>
      <c r="J97" s="13"/>
      <c r="K97" s="16"/>
      <c r="L97" s="17" t="str">
        <f t="shared" si="3"/>
        <v/>
      </c>
      <c r="M97" s="13"/>
      <c r="N97" s="14"/>
      <c r="O97" s="13"/>
      <c r="P97" s="18" t="str">
        <f>IF(C97="","",IF(COUNTIF(Trazabilidad!$A$5:$A$60,C97)&gt;0,"✓","Revisar"))</f>
        <v/>
      </c>
      <c r="Q97" s="14"/>
    </row>
    <row r="98" spans="1:17">
      <c r="A98" s="13"/>
      <c r="B98" s="13"/>
      <c r="C98" s="14"/>
      <c r="D98" s="13"/>
      <c r="E98" s="14"/>
      <c r="F98" s="13"/>
      <c r="G98" s="15"/>
      <c r="H98" s="13"/>
      <c r="I98" s="13"/>
      <c r="J98" s="13"/>
      <c r="K98" s="16"/>
      <c r="L98" s="17" t="str">
        <f t="shared" si="3"/>
        <v/>
      </c>
      <c r="M98" s="13"/>
      <c r="N98" s="14"/>
      <c r="O98" s="13"/>
      <c r="P98" s="18" t="str">
        <f>IF(C98="","",IF(COUNTIF(Trazabilidad!$A$5:$A$60,C98)&gt;0,"✓","Revisar"))</f>
        <v/>
      </c>
      <c r="Q98" s="14"/>
    </row>
    <row r="99" spans="1:17">
      <c r="A99" s="13"/>
      <c r="B99" s="13"/>
      <c r="C99" s="14"/>
      <c r="D99" s="13"/>
      <c r="E99" s="14"/>
      <c r="F99" s="13"/>
      <c r="G99" s="15"/>
      <c r="H99" s="13"/>
      <c r="I99" s="13"/>
      <c r="J99" s="13"/>
      <c r="K99" s="16"/>
      <c r="L99" s="17" t="str">
        <f t="shared" si="3"/>
        <v/>
      </c>
      <c r="M99" s="13"/>
      <c r="N99" s="14"/>
      <c r="O99" s="13"/>
      <c r="P99" s="18" t="str">
        <f>IF(C99="","",IF(COUNTIF(Trazabilidad!$A$5:$A$60,C99)&gt;0,"✓","Revisar"))</f>
        <v/>
      </c>
      <c r="Q99" s="14"/>
    </row>
    <row r="100" spans="1:17">
      <c r="A100" s="13"/>
      <c r="B100" s="13"/>
      <c r="C100" s="14"/>
      <c r="D100" s="13"/>
      <c r="E100" s="14"/>
      <c r="F100" s="13"/>
      <c r="G100" s="15"/>
      <c r="H100" s="13"/>
      <c r="I100" s="13"/>
      <c r="J100" s="13"/>
      <c r="K100" s="16"/>
      <c r="L100" s="17" t="str">
        <f t="shared" si="3"/>
        <v/>
      </c>
      <c r="M100" s="13"/>
      <c r="N100" s="14"/>
      <c r="O100" s="13"/>
      <c r="P100" s="18" t="str">
        <f>IF(C100="","",IF(COUNTIF(Trazabilidad!$A$5:$A$60,C100)&gt;0,"✓","Revisar"))</f>
        <v/>
      </c>
      <c r="Q100" s="14"/>
    </row>
    <row r="101" spans="1:17">
      <c r="A101" s="13"/>
      <c r="B101" s="13"/>
      <c r="C101" s="14"/>
      <c r="D101" s="13"/>
      <c r="E101" s="14"/>
      <c r="F101" s="13"/>
      <c r="G101" s="15"/>
      <c r="H101" s="13"/>
      <c r="I101" s="13"/>
      <c r="J101" s="13"/>
      <c r="K101" s="16"/>
      <c r="L101" s="17" t="str">
        <f t="shared" si="3"/>
        <v/>
      </c>
      <c r="M101" s="13"/>
      <c r="N101" s="14"/>
      <c r="O101" s="13"/>
      <c r="P101" s="18" t="str">
        <f>IF(C101="","",IF(COUNTIF(Trazabilidad!$A$5:$A$60,C101)&gt;0,"✓","Revisar"))</f>
        <v/>
      </c>
      <c r="Q101" s="14"/>
    </row>
    <row r="102" spans="1:17">
      <c r="A102" s="13"/>
      <c r="B102" s="13"/>
      <c r="C102" s="14"/>
      <c r="D102" s="13"/>
      <c r="E102" s="14"/>
      <c r="F102" s="13"/>
      <c r="G102" s="15"/>
      <c r="H102" s="13"/>
      <c r="I102" s="13"/>
      <c r="J102" s="13"/>
      <c r="K102" s="16"/>
      <c r="L102" s="17" t="str">
        <f t="shared" si="3"/>
        <v/>
      </c>
      <c r="M102" s="13"/>
      <c r="N102" s="14"/>
      <c r="O102" s="13"/>
      <c r="P102" s="18" t="str">
        <f>IF(C102="","",IF(COUNTIF(Trazabilidad!$A$5:$A$60,C102)&gt;0,"✓","Revisar"))</f>
        <v/>
      </c>
      <c r="Q102" s="14"/>
    </row>
    <row r="103" spans="1:17">
      <c r="A103" s="13"/>
      <c r="B103" s="13"/>
      <c r="C103" s="14"/>
      <c r="D103" s="13"/>
      <c r="E103" s="14"/>
      <c r="F103" s="13"/>
      <c r="G103" s="15"/>
      <c r="H103" s="13"/>
      <c r="I103" s="13"/>
      <c r="J103" s="13"/>
      <c r="K103" s="16"/>
      <c r="L103" s="17" t="str">
        <f t="shared" si="3"/>
        <v/>
      </c>
      <c r="M103" s="13"/>
      <c r="N103" s="14"/>
      <c r="O103" s="13"/>
      <c r="P103" s="18" t="str">
        <f>IF(C103="","",IF(COUNTIF(Trazabilidad!$A$5:$A$60,C103)&gt;0,"✓","Revisar"))</f>
        <v/>
      </c>
      <c r="Q103" s="14"/>
    </row>
    <row r="104" spans="1:17">
      <c r="A104" s="13"/>
      <c r="B104" s="13"/>
      <c r="C104" s="14"/>
      <c r="D104" s="13"/>
      <c r="E104" s="14"/>
      <c r="F104" s="13"/>
      <c r="G104" s="15"/>
      <c r="H104" s="13"/>
      <c r="I104" s="13"/>
      <c r="J104" s="13"/>
      <c r="K104" s="16"/>
      <c r="L104" s="17" t="str">
        <f t="shared" si="3"/>
        <v/>
      </c>
      <c r="M104" s="13"/>
      <c r="N104" s="14"/>
      <c r="O104" s="13"/>
      <c r="P104" s="18" t="str">
        <f>IF(C104="","",IF(COUNTIF(Trazabilidad!$A$5:$A$60,C104)&gt;0,"✓","Revisar"))</f>
        <v/>
      </c>
      <c r="Q104" s="14"/>
    </row>
    <row r="105" spans="1:17">
      <c r="A105" s="13"/>
      <c r="B105" s="13"/>
      <c r="C105" s="14"/>
      <c r="D105" s="13"/>
      <c r="E105" s="14"/>
      <c r="F105" s="13"/>
      <c r="G105" s="15"/>
      <c r="H105" s="13"/>
      <c r="I105" s="13"/>
      <c r="J105" s="13"/>
      <c r="K105" s="16"/>
      <c r="L105" s="17" t="str">
        <f t="shared" si="3"/>
        <v/>
      </c>
      <c r="M105" s="13"/>
      <c r="N105" s="14"/>
      <c r="O105" s="13"/>
      <c r="P105" s="18" t="str">
        <f>IF(C105="","",IF(COUNTIF(Trazabilidad!$A$5:$A$60,C105)&gt;0,"✓","Revisar"))</f>
        <v/>
      </c>
      <c r="Q105" s="14"/>
    </row>
    <row r="106" spans="1:17">
      <c r="A106" s="13"/>
      <c r="B106" s="13"/>
      <c r="C106" s="14"/>
      <c r="D106" s="13"/>
      <c r="E106" s="14"/>
      <c r="F106" s="13"/>
      <c r="G106" s="15"/>
      <c r="H106" s="13"/>
      <c r="I106" s="13"/>
      <c r="J106" s="13"/>
      <c r="K106" s="16"/>
      <c r="L106" s="17" t="str">
        <f t="shared" si="3"/>
        <v/>
      </c>
      <c r="M106" s="13"/>
      <c r="N106" s="14"/>
      <c r="O106" s="13"/>
      <c r="P106" s="18" t="str">
        <f>IF(C106="","",IF(COUNTIF(Trazabilidad!$A$5:$A$60,C106)&gt;0,"✓","Revisar"))</f>
        <v/>
      </c>
      <c r="Q106" s="14"/>
    </row>
    <row r="107" spans="1:17">
      <c r="A107" s="13"/>
      <c r="B107" s="13"/>
      <c r="C107" s="14"/>
      <c r="D107" s="13"/>
      <c r="E107" s="14"/>
      <c r="F107" s="13"/>
      <c r="G107" s="15"/>
      <c r="H107" s="13"/>
      <c r="I107" s="13"/>
      <c r="J107" s="13"/>
      <c r="K107" s="16"/>
      <c r="L107" s="17" t="str">
        <f t="shared" si="3"/>
        <v/>
      </c>
      <c r="M107" s="13"/>
      <c r="N107" s="14"/>
      <c r="O107" s="13"/>
      <c r="P107" s="18" t="str">
        <f>IF(C107="","",IF(COUNTIF(Trazabilidad!$A$5:$A$60,C107)&gt;0,"✓","Revisar"))</f>
        <v/>
      </c>
      <c r="Q107" s="14"/>
    </row>
    <row r="108" spans="1:17">
      <c r="A108" s="13"/>
      <c r="B108" s="13"/>
      <c r="C108" s="14"/>
      <c r="D108" s="13"/>
      <c r="E108" s="14"/>
      <c r="F108" s="13"/>
      <c r="G108" s="15"/>
      <c r="H108" s="13"/>
      <c r="I108" s="13"/>
      <c r="J108" s="13"/>
      <c r="K108" s="16"/>
      <c r="L108" s="17" t="str">
        <f t="shared" si="3"/>
        <v/>
      </c>
      <c r="M108" s="13"/>
      <c r="N108" s="14"/>
      <c r="O108" s="13"/>
      <c r="P108" s="18" t="str">
        <f>IF(C108="","",IF(COUNTIF(Trazabilidad!$A$5:$A$60,C108)&gt;0,"✓","Revisar"))</f>
        <v/>
      </c>
      <c r="Q108" s="14"/>
    </row>
    <row r="109" spans="1:17">
      <c r="A109" s="13"/>
      <c r="B109" s="13"/>
      <c r="C109" s="14"/>
      <c r="D109" s="13"/>
      <c r="E109" s="14"/>
      <c r="F109" s="13"/>
      <c r="G109" s="15"/>
      <c r="H109" s="13"/>
      <c r="I109" s="13"/>
      <c r="J109" s="13"/>
      <c r="K109" s="16"/>
      <c r="L109" s="17" t="str">
        <f t="shared" si="3"/>
        <v/>
      </c>
      <c r="M109" s="13"/>
      <c r="N109" s="14"/>
      <c r="O109" s="13"/>
      <c r="P109" s="18" t="str">
        <f>IF(C109="","",IF(COUNTIF(Trazabilidad!$A$5:$A$60,C109)&gt;0,"✓","Revisar"))</f>
        <v/>
      </c>
      <c r="Q109" s="14"/>
    </row>
    <row r="110" spans="1:17">
      <c r="A110" s="13"/>
      <c r="B110" s="13"/>
      <c r="C110" s="14"/>
      <c r="D110" s="13"/>
      <c r="E110" s="14"/>
      <c r="F110" s="13"/>
      <c r="G110" s="15"/>
      <c r="H110" s="13"/>
      <c r="I110" s="13"/>
      <c r="J110" s="13"/>
      <c r="K110" s="16"/>
      <c r="L110" s="17" t="str">
        <f t="shared" si="3"/>
        <v/>
      </c>
      <c r="M110" s="13"/>
      <c r="N110" s="14"/>
      <c r="O110" s="13"/>
      <c r="P110" s="18" t="str">
        <f>IF(C110="","",IF(COUNTIF(Trazabilidad!$A$5:$A$60,C110)&gt;0,"✓","Revisar"))</f>
        <v/>
      </c>
      <c r="Q110" s="14"/>
    </row>
    <row r="111" spans="1:17">
      <c r="A111" s="13"/>
      <c r="B111" s="13"/>
      <c r="C111" s="14"/>
      <c r="D111" s="13"/>
      <c r="E111" s="14"/>
      <c r="F111" s="13"/>
      <c r="G111" s="15"/>
      <c r="H111" s="13"/>
      <c r="I111" s="13"/>
      <c r="J111" s="13"/>
      <c r="K111" s="16"/>
      <c r="L111" s="17" t="str">
        <f t="shared" si="3"/>
        <v/>
      </c>
      <c r="M111" s="13"/>
      <c r="N111" s="14"/>
      <c r="O111" s="13"/>
      <c r="P111" s="18" t="str">
        <f>IF(C111="","",IF(COUNTIF(Trazabilidad!$A$5:$A$60,C111)&gt;0,"✓","Revisar"))</f>
        <v/>
      </c>
      <c r="Q111" s="14"/>
    </row>
    <row r="112" spans="1:17">
      <c r="A112" s="13"/>
      <c r="B112" s="13"/>
      <c r="C112" s="14"/>
      <c r="D112" s="13"/>
      <c r="E112" s="14"/>
      <c r="F112" s="13"/>
      <c r="G112" s="15"/>
      <c r="H112" s="13"/>
      <c r="I112" s="13"/>
      <c r="J112" s="13"/>
      <c r="K112" s="16"/>
      <c r="L112" s="17" t="str">
        <f t="shared" si="3"/>
        <v/>
      </c>
      <c r="M112" s="13"/>
      <c r="N112" s="14"/>
      <c r="O112" s="13"/>
      <c r="P112" s="18" t="str">
        <f>IF(C112="","",IF(COUNTIF(Trazabilidad!$A$5:$A$60,C112)&gt;0,"✓","Revisar"))</f>
        <v/>
      </c>
      <c r="Q112" s="14"/>
    </row>
    <row r="113" spans="1:17">
      <c r="A113" s="13"/>
      <c r="B113" s="13"/>
      <c r="C113" s="14"/>
      <c r="D113" s="13"/>
      <c r="E113" s="14"/>
      <c r="F113" s="13"/>
      <c r="G113" s="15"/>
      <c r="H113" s="13"/>
      <c r="I113" s="13"/>
      <c r="J113" s="13"/>
      <c r="K113" s="16"/>
      <c r="L113" s="17" t="str">
        <f t="shared" si="3"/>
        <v/>
      </c>
      <c r="M113" s="13"/>
      <c r="N113" s="14"/>
      <c r="O113" s="13"/>
      <c r="P113" s="18" t="str">
        <f>IF(C113="","",IF(COUNTIF(Trazabilidad!$A$5:$A$60,C113)&gt;0,"✓","Revisar"))</f>
        <v/>
      </c>
      <c r="Q113" s="14"/>
    </row>
    <row r="114" spans="1:17">
      <c r="A114" s="13"/>
      <c r="B114" s="13"/>
      <c r="C114" s="14"/>
      <c r="D114" s="13"/>
      <c r="E114" s="14"/>
      <c r="F114" s="13"/>
      <c r="G114" s="15"/>
      <c r="H114" s="13"/>
      <c r="I114" s="13"/>
      <c r="J114" s="13"/>
      <c r="K114" s="16"/>
      <c r="L114" s="17" t="str">
        <f t="shared" si="3"/>
        <v/>
      </c>
      <c r="M114" s="13"/>
      <c r="N114" s="14"/>
      <c r="O114" s="13"/>
      <c r="P114" s="18" t="str">
        <f>IF(C114="","",IF(COUNTIF(Trazabilidad!$A$5:$A$60,C114)&gt;0,"✓","Revisar"))</f>
        <v/>
      </c>
      <c r="Q114" s="14"/>
    </row>
    <row r="115" spans="1:17">
      <c r="A115" s="13"/>
      <c r="B115" s="13"/>
      <c r="C115" s="14"/>
      <c r="D115" s="13"/>
      <c r="E115" s="14"/>
      <c r="F115" s="13"/>
      <c r="G115" s="15"/>
      <c r="H115" s="13"/>
      <c r="I115" s="13"/>
      <c r="J115" s="13"/>
      <c r="K115" s="16"/>
      <c r="L115" s="17" t="str">
        <f t="shared" si="3"/>
        <v/>
      </c>
      <c r="M115" s="13"/>
      <c r="N115" s="14"/>
      <c r="O115" s="13"/>
      <c r="P115" s="18" t="str">
        <f>IF(C115="","",IF(COUNTIF(Trazabilidad!$A$5:$A$60,C115)&gt;0,"✓","Revisar"))</f>
        <v/>
      </c>
      <c r="Q115" s="14"/>
    </row>
    <row r="116" spans="1:17">
      <c r="A116" s="13"/>
      <c r="B116" s="13"/>
      <c r="C116" s="14"/>
      <c r="D116" s="13"/>
      <c r="E116" s="14"/>
      <c r="F116" s="13"/>
      <c r="G116" s="15"/>
      <c r="H116" s="13"/>
      <c r="I116" s="13"/>
      <c r="J116" s="13"/>
      <c r="K116" s="16"/>
      <c r="L116" s="17" t="str">
        <f t="shared" si="3"/>
        <v/>
      </c>
      <c r="M116" s="13"/>
      <c r="N116" s="14"/>
      <c r="O116" s="13"/>
      <c r="P116" s="18" t="str">
        <f>IF(C116="","",IF(COUNTIF(Trazabilidad!$A$5:$A$60,C116)&gt;0,"✓","Revisar"))</f>
        <v/>
      </c>
      <c r="Q116" s="14"/>
    </row>
    <row r="117" spans="1:17">
      <c r="A117" s="13"/>
      <c r="B117" s="13"/>
      <c r="C117" s="14"/>
      <c r="D117" s="13"/>
      <c r="E117" s="14"/>
      <c r="F117" s="13"/>
      <c r="G117" s="15"/>
      <c r="H117" s="13"/>
      <c r="I117" s="13"/>
      <c r="J117" s="13"/>
      <c r="K117" s="16"/>
      <c r="L117" s="17" t="str">
        <f t="shared" si="3"/>
        <v/>
      </c>
      <c r="M117" s="13"/>
      <c r="N117" s="14"/>
      <c r="O117" s="13"/>
      <c r="P117" s="18" t="str">
        <f>IF(C117="","",IF(COUNTIF(Trazabilidad!$A$5:$A$60,C117)&gt;0,"✓","Revisar"))</f>
        <v/>
      </c>
      <c r="Q117" s="14"/>
    </row>
    <row r="118" spans="1:17">
      <c r="A118" s="13"/>
      <c r="B118" s="13"/>
      <c r="C118" s="14"/>
      <c r="D118" s="13"/>
      <c r="E118" s="14"/>
      <c r="F118" s="13"/>
      <c r="G118" s="15"/>
      <c r="H118" s="13"/>
      <c r="I118" s="13"/>
      <c r="J118" s="13"/>
      <c r="K118" s="16"/>
      <c r="L118" s="17" t="str">
        <f t="shared" si="3"/>
        <v/>
      </c>
      <c r="M118" s="13"/>
      <c r="N118" s="14"/>
      <c r="O118" s="13"/>
      <c r="P118" s="18" t="str">
        <f>IF(C118="","",IF(COUNTIF(Trazabilidad!$A$5:$A$60,C118)&gt;0,"✓","Revisar"))</f>
        <v/>
      </c>
      <c r="Q118" s="14"/>
    </row>
    <row r="119" spans="1:17">
      <c r="A119" s="13"/>
      <c r="B119" s="13"/>
      <c r="C119" s="14"/>
      <c r="D119" s="13"/>
      <c r="E119" s="14"/>
      <c r="F119" s="13"/>
      <c r="G119" s="15"/>
      <c r="H119" s="13"/>
      <c r="I119" s="13"/>
      <c r="J119" s="13"/>
      <c r="K119" s="16"/>
      <c r="L119" s="17" t="str">
        <f t="shared" si="3"/>
        <v/>
      </c>
      <c r="M119" s="13"/>
      <c r="N119" s="14"/>
      <c r="O119" s="13"/>
      <c r="P119" s="18" t="str">
        <f>IF(C119="","",IF(COUNTIF(Trazabilidad!$A$5:$A$60,C119)&gt;0,"✓","Revisar"))</f>
        <v/>
      </c>
      <c r="Q119" s="14"/>
    </row>
    <row r="120" spans="1:17">
      <c r="A120" s="13"/>
      <c r="B120" s="13"/>
      <c r="C120" s="14"/>
      <c r="D120" s="13"/>
      <c r="E120" s="14"/>
      <c r="F120" s="13"/>
      <c r="G120" s="15"/>
      <c r="H120" s="13"/>
      <c r="I120" s="13"/>
      <c r="J120" s="13"/>
      <c r="K120" s="16"/>
      <c r="L120" s="17" t="str">
        <f t="shared" si="3"/>
        <v/>
      </c>
      <c r="M120" s="13"/>
      <c r="N120" s="14"/>
      <c r="O120" s="13"/>
      <c r="P120" s="18" t="str">
        <f>IF(C120="","",IF(COUNTIF(Trazabilidad!$A$5:$A$60,C120)&gt;0,"✓","Revisar"))</f>
        <v/>
      </c>
      <c r="Q120" s="14"/>
    </row>
    <row r="121" spans="1:17">
      <c r="A121" s="13"/>
      <c r="B121" s="13"/>
      <c r="C121" s="14"/>
      <c r="D121" s="13"/>
      <c r="E121" s="14"/>
      <c r="F121" s="13"/>
      <c r="G121" s="15"/>
      <c r="H121" s="13"/>
      <c r="I121" s="13"/>
      <c r="J121" s="13"/>
      <c r="K121" s="16"/>
      <c r="L121" s="17" t="str">
        <f t="shared" si="3"/>
        <v/>
      </c>
      <c r="M121" s="13"/>
      <c r="N121" s="14"/>
      <c r="O121" s="13"/>
      <c r="P121" s="18" t="str">
        <f>IF(C121="","",IF(COUNTIF(Trazabilidad!$A$5:$A$60,C121)&gt;0,"✓","Revisar"))</f>
        <v/>
      </c>
      <c r="Q121" s="14"/>
    </row>
    <row r="122" spans="1:17">
      <c r="A122" s="13"/>
      <c r="B122" s="13"/>
      <c r="C122" s="14"/>
      <c r="D122" s="13"/>
      <c r="E122" s="14"/>
      <c r="F122" s="13"/>
      <c r="G122" s="15"/>
      <c r="H122" s="13"/>
      <c r="I122" s="13"/>
      <c r="J122" s="13"/>
      <c r="K122" s="16"/>
      <c r="L122" s="17" t="str">
        <f t="shared" si="3"/>
        <v/>
      </c>
      <c r="M122" s="13"/>
      <c r="N122" s="14"/>
      <c r="O122" s="13"/>
      <c r="P122" s="18" t="str">
        <f>IF(C122="","",IF(COUNTIF(Trazabilidad!$A$5:$A$60,C122)&gt;0,"✓","Revisar"))</f>
        <v/>
      </c>
      <c r="Q122" s="14"/>
    </row>
    <row r="123" spans="1:17">
      <c r="A123" s="13"/>
      <c r="B123" s="13"/>
      <c r="C123" s="14"/>
      <c r="D123" s="13"/>
      <c r="E123" s="14"/>
      <c r="F123" s="13"/>
      <c r="G123" s="15"/>
      <c r="H123" s="13"/>
      <c r="I123" s="13"/>
      <c r="J123" s="13"/>
      <c r="K123" s="16"/>
      <c r="L123" s="17" t="str">
        <f t="shared" si="3"/>
        <v/>
      </c>
      <c r="M123" s="13"/>
      <c r="N123" s="14"/>
      <c r="O123" s="13"/>
      <c r="P123" s="18" t="str">
        <f>IF(C123="","",IF(COUNTIF(Trazabilidad!$A$5:$A$60,C123)&gt;0,"✓","Revisar"))</f>
        <v/>
      </c>
      <c r="Q123" s="14"/>
    </row>
    <row r="124" spans="1:17">
      <c r="A124" s="13"/>
      <c r="B124" s="13"/>
      <c r="C124" s="14"/>
      <c r="D124" s="13"/>
      <c r="E124" s="14"/>
      <c r="F124" s="13"/>
      <c r="G124" s="15"/>
      <c r="H124" s="13"/>
      <c r="I124" s="13"/>
      <c r="J124" s="13"/>
      <c r="K124" s="16"/>
      <c r="L124" s="17" t="str">
        <f t="shared" si="3"/>
        <v/>
      </c>
      <c r="M124" s="13"/>
      <c r="N124" s="14"/>
      <c r="O124" s="13"/>
      <c r="P124" s="18" t="str">
        <f>IF(C124="","",IF(COUNTIF(Trazabilidad!$A$5:$A$60,C124)&gt;0,"✓","Revisar"))</f>
        <v/>
      </c>
      <c r="Q124" s="14"/>
    </row>
    <row r="125" spans="1:17">
      <c r="A125" s="13"/>
      <c r="B125" s="13"/>
      <c r="C125" s="14"/>
      <c r="D125" s="13"/>
      <c r="E125" s="14"/>
      <c r="F125" s="13"/>
      <c r="G125" s="15"/>
      <c r="H125" s="13"/>
      <c r="I125" s="13"/>
      <c r="J125" s="13"/>
      <c r="K125" s="16"/>
      <c r="L125" s="17" t="str">
        <f t="shared" si="3"/>
        <v/>
      </c>
      <c r="M125" s="13"/>
      <c r="N125" s="14"/>
      <c r="O125" s="13"/>
      <c r="P125" s="18" t="str">
        <f>IF(C125="","",IF(COUNTIF(Trazabilidad!$A$5:$A$60,C125)&gt;0,"✓","Revisar"))</f>
        <v/>
      </c>
      <c r="Q125" s="14"/>
    </row>
    <row r="126" spans="1:17">
      <c r="A126" s="13"/>
      <c r="B126" s="13"/>
      <c r="C126" s="14"/>
      <c r="D126" s="13"/>
      <c r="E126" s="14"/>
      <c r="F126" s="13"/>
      <c r="G126" s="15"/>
      <c r="H126" s="13"/>
      <c r="I126" s="13"/>
      <c r="J126" s="13"/>
      <c r="K126" s="16"/>
      <c r="L126" s="17" t="str">
        <f t="shared" ref="L126:L157" si="4">IF(OR(G126="",K126=""),"",G126*K126)</f>
        <v/>
      </c>
      <c r="M126" s="13"/>
      <c r="N126" s="14"/>
      <c r="O126" s="13"/>
      <c r="P126" s="18" t="str">
        <f>IF(C126="","",IF(COUNTIF(Trazabilidad!$A$5:$A$60,C126)&gt;0,"✓","Revisar"))</f>
        <v/>
      </c>
      <c r="Q126" s="14"/>
    </row>
    <row r="127" spans="1:17">
      <c r="A127" s="13"/>
      <c r="B127" s="13"/>
      <c r="C127" s="14"/>
      <c r="D127" s="13"/>
      <c r="E127" s="14"/>
      <c r="F127" s="13"/>
      <c r="G127" s="15"/>
      <c r="H127" s="13"/>
      <c r="I127" s="13"/>
      <c r="J127" s="13"/>
      <c r="K127" s="16"/>
      <c r="L127" s="17" t="str">
        <f t="shared" si="4"/>
        <v/>
      </c>
      <c r="M127" s="13"/>
      <c r="N127" s="14"/>
      <c r="O127" s="13"/>
      <c r="P127" s="18" t="str">
        <f>IF(C127="","",IF(COUNTIF(Trazabilidad!$A$5:$A$60,C127)&gt;0,"✓","Revisar"))</f>
        <v/>
      </c>
      <c r="Q127" s="14"/>
    </row>
    <row r="128" spans="1:17">
      <c r="A128" s="13"/>
      <c r="B128" s="13"/>
      <c r="C128" s="14"/>
      <c r="D128" s="13"/>
      <c r="E128" s="14"/>
      <c r="F128" s="13"/>
      <c r="G128" s="15"/>
      <c r="H128" s="13"/>
      <c r="I128" s="13"/>
      <c r="J128" s="13"/>
      <c r="K128" s="16"/>
      <c r="L128" s="17" t="str">
        <f t="shared" si="4"/>
        <v/>
      </c>
      <c r="M128" s="13"/>
      <c r="N128" s="14"/>
      <c r="O128" s="13"/>
      <c r="P128" s="18" t="str">
        <f>IF(C128="","",IF(COUNTIF(Trazabilidad!$A$5:$A$60,C128)&gt;0,"✓","Revisar"))</f>
        <v/>
      </c>
      <c r="Q128" s="14"/>
    </row>
    <row r="129" spans="1:17">
      <c r="A129" s="13"/>
      <c r="B129" s="13"/>
      <c r="C129" s="14"/>
      <c r="D129" s="13"/>
      <c r="E129" s="14"/>
      <c r="F129" s="13"/>
      <c r="G129" s="15"/>
      <c r="H129" s="13"/>
      <c r="I129" s="13"/>
      <c r="J129" s="13"/>
      <c r="K129" s="16"/>
      <c r="L129" s="17" t="str">
        <f t="shared" si="4"/>
        <v/>
      </c>
      <c r="M129" s="13"/>
      <c r="N129" s="14"/>
      <c r="O129" s="13"/>
      <c r="P129" s="18" t="str">
        <f>IF(C129="","",IF(COUNTIF(Trazabilidad!$A$5:$A$60,C129)&gt;0,"✓","Revisar"))</f>
        <v/>
      </c>
      <c r="Q129" s="14"/>
    </row>
    <row r="130" spans="1:17">
      <c r="A130" s="13"/>
      <c r="B130" s="13"/>
      <c r="C130" s="14"/>
      <c r="D130" s="13"/>
      <c r="E130" s="14"/>
      <c r="F130" s="13"/>
      <c r="G130" s="15"/>
      <c r="H130" s="13"/>
      <c r="I130" s="13"/>
      <c r="J130" s="13"/>
      <c r="K130" s="16"/>
      <c r="L130" s="17" t="str">
        <f t="shared" si="4"/>
        <v/>
      </c>
      <c r="M130" s="13"/>
      <c r="N130" s="14"/>
      <c r="O130" s="13"/>
      <c r="P130" s="18" t="str">
        <f>IF(C130="","",IF(COUNTIF(Trazabilidad!$A$5:$A$60,C130)&gt;0,"✓","Revisar"))</f>
        <v/>
      </c>
      <c r="Q130" s="14"/>
    </row>
    <row r="131" spans="1:17">
      <c r="A131" s="13"/>
      <c r="B131" s="13"/>
      <c r="C131" s="14"/>
      <c r="D131" s="13"/>
      <c r="E131" s="14"/>
      <c r="F131" s="13"/>
      <c r="G131" s="15"/>
      <c r="H131" s="13"/>
      <c r="I131" s="13"/>
      <c r="J131" s="13"/>
      <c r="K131" s="16"/>
      <c r="L131" s="17" t="str">
        <f t="shared" si="4"/>
        <v/>
      </c>
      <c r="M131" s="13"/>
      <c r="N131" s="14"/>
      <c r="O131" s="13"/>
      <c r="P131" s="18" t="str">
        <f>IF(C131="","",IF(COUNTIF(Trazabilidad!$A$5:$A$60,C131)&gt;0,"✓","Revisar"))</f>
        <v/>
      </c>
      <c r="Q131" s="14"/>
    </row>
    <row r="132" spans="1:17">
      <c r="A132" s="13"/>
      <c r="B132" s="13"/>
      <c r="C132" s="14"/>
      <c r="D132" s="13"/>
      <c r="E132" s="14"/>
      <c r="F132" s="13"/>
      <c r="G132" s="15"/>
      <c r="H132" s="13"/>
      <c r="I132" s="13"/>
      <c r="J132" s="13"/>
      <c r="K132" s="16"/>
      <c r="L132" s="17" t="str">
        <f t="shared" si="4"/>
        <v/>
      </c>
      <c r="M132" s="13"/>
      <c r="N132" s="14"/>
      <c r="O132" s="13"/>
      <c r="P132" s="18" t="str">
        <f>IF(C132="","",IF(COUNTIF(Trazabilidad!$A$5:$A$60,C132)&gt;0,"✓","Revisar"))</f>
        <v/>
      </c>
      <c r="Q132" s="14"/>
    </row>
    <row r="133" spans="1:17">
      <c r="A133" s="13"/>
      <c r="B133" s="13"/>
      <c r="C133" s="14"/>
      <c r="D133" s="13"/>
      <c r="E133" s="14"/>
      <c r="F133" s="13"/>
      <c r="G133" s="15"/>
      <c r="H133" s="13"/>
      <c r="I133" s="13"/>
      <c r="J133" s="13"/>
      <c r="K133" s="16"/>
      <c r="L133" s="17" t="str">
        <f t="shared" si="4"/>
        <v/>
      </c>
      <c r="M133" s="13"/>
      <c r="N133" s="14"/>
      <c r="O133" s="13"/>
      <c r="P133" s="18" t="str">
        <f>IF(C133="","",IF(COUNTIF(Trazabilidad!$A$5:$A$60,C133)&gt;0,"✓","Revisar"))</f>
        <v/>
      </c>
      <c r="Q133" s="14"/>
    </row>
    <row r="134" spans="1:17">
      <c r="A134" s="13"/>
      <c r="B134" s="13"/>
      <c r="C134" s="14"/>
      <c r="D134" s="13"/>
      <c r="E134" s="14"/>
      <c r="F134" s="13"/>
      <c r="G134" s="15"/>
      <c r="H134" s="13"/>
      <c r="I134" s="13"/>
      <c r="J134" s="13"/>
      <c r="K134" s="16"/>
      <c r="L134" s="17" t="str">
        <f t="shared" si="4"/>
        <v/>
      </c>
      <c r="M134" s="13"/>
      <c r="N134" s="14"/>
      <c r="O134" s="13"/>
      <c r="P134" s="18" t="str">
        <f>IF(C134="","",IF(COUNTIF(Trazabilidad!$A$5:$A$60,C134)&gt;0,"✓","Revisar"))</f>
        <v/>
      </c>
      <c r="Q134" s="14"/>
    </row>
    <row r="135" spans="1:17">
      <c r="A135" s="13"/>
      <c r="B135" s="13"/>
      <c r="C135" s="14"/>
      <c r="D135" s="13"/>
      <c r="E135" s="14"/>
      <c r="F135" s="13"/>
      <c r="G135" s="15"/>
      <c r="H135" s="13"/>
      <c r="I135" s="13"/>
      <c r="J135" s="13"/>
      <c r="K135" s="16"/>
      <c r="L135" s="17" t="str">
        <f t="shared" si="4"/>
        <v/>
      </c>
      <c r="M135" s="13"/>
      <c r="N135" s="14"/>
      <c r="O135" s="13"/>
      <c r="P135" s="18" t="str">
        <f>IF(C135="","",IF(COUNTIF(Trazabilidad!$A$5:$A$60,C135)&gt;0,"✓","Revisar"))</f>
        <v/>
      </c>
      <c r="Q135" s="14"/>
    </row>
    <row r="136" spans="1:17">
      <c r="A136" s="13"/>
      <c r="B136" s="13"/>
      <c r="C136" s="14"/>
      <c r="D136" s="13"/>
      <c r="E136" s="14"/>
      <c r="F136" s="13"/>
      <c r="G136" s="15"/>
      <c r="H136" s="13"/>
      <c r="I136" s="13"/>
      <c r="J136" s="13"/>
      <c r="K136" s="16"/>
      <c r="L136" s="17" t="str">
        <f t="shared" si="4"/>
        <v/>
      </c>
      <c r="M136" s="13"/>
      <c r="N136" s="14"/>
      <c r="O136" s="13"/>
      <c r="P136" s="18" t="str">
        <f>IF(C136="","",IF(COUNTIF(Trazabilidad!$A$5:$A$60,C136)&gt;0,"✓","Revisar"))</f>
        <v/>
      </c>
      <c r="Q136" s="14"/>
    </row>
    <row r="137" spans="1:17">
      <c r="A137" s="13"/>
      <c r="B137" s="13"/>
      <c r="C137" s="14"/>
      <c r="D137" s="13"/>
      <c r="E137" s="14"/>
      <c r="F137" s="13"/>
      <c r="G137" s="15"/>
      <c r="H137" s="13"/>
      <c r="I137" s="13"/>
      <c r="J137" s="13"/>
      <c r="K137" s="16"/>
      <c r="L137" s="17" t="str">
        <f t="shared" si="4"/>
        <v/>
      </c>
      <c r="M137" s="13"/>
      <c r="N137" s="14"/>
      <c r="O137" s="13"/>
      <c r="P137" s="18" t="str">
        <f>IF(C137="","",IF(COUNTIF(Trazabilidad!$A$5:$A$60,C137)&gt;0,"✓","Revisar"))</f>
        <v/>
      </c>
      <c r="Q137" s="14"/>
    </row>
    <row r="138" spans="1:17">
      <c r="A138" s="13"/>
      <c r="B138" s="13"/>
      <c r="C138" s="14"/>
      <c r="D138" s="13"/>
      <c r="E138" s="14"/>
      <c r="F138" s="13"/>
      <c r="G138" s="15"/>
      <c r="H138" s="13"/>
      <c r="I138" s="13"/>
      <c r="J138" s="13"/>
      <c r="K138" s="16"/>
      <c r="L138" s="17" t="str">
        <f t="shared" si="4"/>
        <v/>
      </c>
      <c r="M138" s="13"/>
      <c r="N138" s="14"/>
      <c r="O138" s="13"/>
      <c r="P138" s="18" t="str">
        <f>IF(C138="","",IF(COUNTIF(Trazabilidad!$A$5:$A$60,C138)&gt;0,"✓","Revisar"))</f>
        <v/>
      </c>
      <c r="Q138" s="14"/>
    </row>
    <row r="139" spans="1:17">
      <c r="A139" s="13"/>
      <c r="B139" s="13"/>
      <c r="C139" s="14"/>
      <c r="D139" s="13"/>
      <c r="E139" s="14"/>
      <c r="F139" s="13"/>
      <c r="G139" s="15"/>
      <c r="H139" s="13"/>
      <c r="I139" s="13"/>
      <c r="J139" s="13"/>
      <c r="K139" s="16"/>
      <c r="L139" s="17" t="str">
        <f t="shared" si="4"/>
        <v/>
      </c>
      <c r="M139" s="13"/>
      <c r="N139" s="14"/>
      <c r="O139" s="13"/>
      <c r="P139" s="18" t="str">
        <f>IF(C139="","",IF(COUNTIF(Trazabilidad!$A$5:$A$60,C139)&gt;0,"✓","Revisar"))</f>
        <v/>
      </c>
      <c r="Q139" s="14"/>
    </row>
    <row r="140" spans="1:17">
      <c r="A140" s="13"/>
      <c r="B140" s="13"/>
      <c r="C140" s="14"/>
      <c r="D140" s="13"/>
      <c r="E140" s="14"/>
      <c r="F140" s="13"/>
      <c r="G140" s="15"/>
      <c r="H140" s="13"/>
      <c r="I140" s="13"/>
      <c r="J140" s="13"/>
      <c r="K140" s="16"/>
      <c r="L140" s="17" t="str">
        <f t="shared" si="4"/>
        <v/>
      </c>
      <c r="M140" s="13"/>
      <c r="N140" s="14"/>
      <c r="O140" s="13"/>
      <c r="P140" s="18" t="str">
        <f>IF(C140="","",IF(COUNTIF(Trazabilidad!$A$5:$A$60,C140)&gt;0,"✓","Revisar"))</f>
        <v/>
      </c>
      <c r="Q140" s="14"/>
    </row>
    <row r="141" spans="1:17">
      <c r="A141" s="13"/>
      <c r="B141" s="13"/>
      <c r="C141" s="14"/>
      <c r="D141" s="13"/>
      <c r="E141" s="14"/>
      <c r="F141" s="13"/>
      <c r="G141" s="15"/>
      <c r="H141" s="13"/>
      <c r="I141" s="13"/>
      <c r="J141" s="13"/>
      <c r="K141" s="16"/>
      <c r="L141" s="17" t="str">
        <f t="shared" si="4"/>
        <v/>
      </c>
      <c r="M141" s="13"/>
      <c r="N141" s="14"/>
      <c r="O141" s="13"/>
      <c r="P141" s="18" t="str">
        <f>IF(C141="","",IF(COUNTIF(Trazabilidad!$A$5:$A$60,C141)&gt;0,"✓","Revisar"))</f>
        <v/>
      </c>
      <c r="Q141" s="14"/>
    </row>
    <row r="142" spans="1:17">
      <c r="A142" s="13"/>
      <c r="B142" s="13"/>
      <c r="C142" s="14"/>
      <c r="D142" s="13"/>
      <c r="E142" s="14"/>
      <c r="F142" s="13"/>
      <c r="G142" s="15"/>
      <c r="H142" s="13"/>
      <c r="I142" s="13"/>
      <c r="J142" s="13"/>
      <c r="K142" s="16"/>
      <c r="L142" s="17" t="str">
        <f t="shared" si="4"/>
        <v/>
      </c>
      <c r="M142" s="13"/>
      <c r="N142" s="14"/>
      <c r="O142" s="13"/>
      <c r="P142" s="18" t="str">
        <f>IF(C142="","",IF(COUNTIF(Trazabilidad!$A$5:$A$60,C142)&gt;0,"✓","Revisar"))</f>
        <v/>
      </c>
      <c r="Q142" s="14"/>
    </row>
    <row r="143" spans="1:17">
      <c r="A143" s="13"/>
      <c r="B143" s="13"/>
      <c r="C143" s="14"/>
      <c r="D143" s="13"/>
      <c r="E143" s="14"/>
      <c r="F143" s="13"/>
      <c r="G143" s="15"/>
      <c r="H143" s="13"/>
      <c r="I143" s="13"/>
      <c r="J143" s="13"/>
      <c r="K143" s="16"/>
      <c r="L143" s="17" t="str">
        <f t="shared" si="4"/>
        <v/>
      </c>
      <c r="M143" s="13"/>
      <c r="N143" s="14"/>
      <c r="O143" s="13"/>
      <c r="P143" s="18" t="str">
        <f>IF(C143="","",IF(COUNTIF(Trazabilidad!$A$5:$A$60,C143)&gt;0,"✓","Revisar"))</f>
        <v/>
      </c>
      <c r="Q143" s="14"/>
    </row>
    <row r="144" spans="1:17">
      <c r="A144" s="13"/>
      <c r="B144" s="13"/>
      <c r="C144" s="14"/>
      <c r="D144" s="13"/>
      <c r="E144" s="14"/>
      <c r="F144" s="13"/>
      <c r="G144" s="15"/>
      <c r="H144" s="13"/>
      <c r="I144" s="13"/>
      <c r="J144" s="13"/>
      <c r="K144" s="16"/>
      <c r="L144" s="17" t="str">
        <f t="shared" si="4"/>
        <v/>
      </c>
      <c r="M144" s="13"/>
      <c r="N144" s="14"/>
      <c r="O144" s="13"/>
      <c r="P144" s="18" t="str">
        <f>IF(C144="","",IF(COUNTIF(Trazabilidad!$A$5:$A$60,C144)&gt;0,"✓","Revisar"))</f>
        <v/>
      </c>
      <c r="Q144" s="14"/>
    </row>
    <row r="145" spans="1:17">
      <c r="A145" s="13"/>
      <c r="B145" s="13"/>
      <c r="C145" s="14"/>
      <c r="D145" s="13"/>
      <c r="E145" s="14"/>
      <c r="F145" s="13"/>
      <c r="G145" s="15"/>
      <c r="H145" s="13"/>
      <c r="I145" s="13"/>
      <c r="J145" s="13"/>
      <c r="K145" s="16"/>
      <c r="L145" s="17" t="str">
        <f t="shared" si="4"/>
        <v/>
      </c>
      <c r="M145" s="13"/>
      <c r="N145" s="14"/>
      <c r="O145" s="13"/>
      <c r="P145" s="18" t="str">
        <f>IF(C145="","",IF(COUNTIF(Trazabilidad!$A$5:$A$60,C145)&gt;0,"✓","Revisar"))</f>
        <v/>
      </c>
      <c r="Q145" s="14"/>
    </row>
    <row r="146" spans="1:17">
      <c r="A146" s="13"/>
      <c r="B146" s="13"/>
      <c r="C146" s="14"/>
      <c r="D146" s="13"/>
      <c r="E146" s="14"/>
      <c r="F146" s="13"/>
      <c r="G146" s="15"/>
      <c r="H146" s="13"/>
      <c r="I146" s="13"/>
      <c r="J146" s="13"/>
      <c r="K146" s="16"/>
      <c r="L146" s="17" t="str">
        <f t="shared" si="4"/>
        <v/>
      </c>
      <c r="M146" s="13"/>
      <c r="N146" s="14"/>
      <c r="O146" s="13"/>
      <c r="P146" s="18" t="str">
        <f>IF(C146="","",IF(COUNTIF(Trazabilidad!$A$5:$A$60,C146)&gt;0,"✓","Revisar"))</f>
        <v/>
      </c>
      <c r="Q146" s="14"/>
    </row>
    <row r="147" spans="1:17">
      <c r="A147" s="13"/>
      <c r="B147" s="13"/>
      <c r="C147" s="14"/>
      <c r="D147" s="13"/>
      <c r="E147" s="14"/>
      <c r="F147" s="13"/>
      <c r="G147" s="15"/>
      <c r="H147" s="13"/>
      <c r="I147" s="13"/>
      <c r="J147" s="13"/>
      <c r="K147" s="16"/>
      <c r="L147" s="17" t="str">
        <f t="shared" si="4"/>
        <v/>
      </c>
      <c r="M147" s="13"/>
      <c r="N147" s="14"/>
      <c r="O147" s="13"/>
      <c r="P147" s="18" t="str">
        <f>IF(C147="","",IF(COUNTIF(Trazabilidad!$A$5:$A$60,C147)&gt;0,"✓","Revisar"))</f>
        <v/>
      </c>
      <c r="Q147" s="14"/>
    </row>
    <row r="148" spans="1:17">
      <c r="A148" s="13"/>
      <c r="B148" s="13"/>
      <c r="C148" s="14"/>
      <c r="D148" s="13"/>
      <c r="E148" s="14"/>
      <c r="F148" s="13"/>
      <c r="G148" s="15"/>
      <c r="H148" s="13"/>
      <c r="I148" s="13"/>
      <c r="J148" s="13"/>
      <c r="K148" s="16"/>
      <c r="L148" s="17" t="str">
        <f t="shared" si="4"/>
        <v/>
      </c>
      <c r="M148" s="13"/>
      <c r="N148" s="14"/>
      <c r="O148" s="13"/>
      <c r="P148" s="18" t="str">
        <f>IF(C148="","",IF(COUNTIF(Trazabilidad!$A$5:$A$60,C148)&gt;0,"✓","Revisar"))</f>
        <v/>
      </c>
      <c r="Q148" s="14"/>
    </row>
    <row r="149" spans="1:17">
      <c r="A149" s="13"/>
      <c r="B149" s="13"/>
      <c r="C149" s="14"/>
      <c r="D149" s="13"/>
      <c r="E149" s="14"/>
      <c r="F149" s="13"/>
      <c r="G149" s="15"/>
      <c r="H149" s="13"/>
      <c r="I149" s="13"/>
      <c r="J149" s="13"/>
      <c r="K149" s="16"/>
      <c r="L149" s="17" t="str">
        <f t="shared" si="4"/>
        <v/>
      </c>
      <c r="M149" s="13"/>
      <c r="N149" s="14"/>
      <c r="O149" s="13"/>
      <c r="P149" s="18" t="str">
        <f>IF(C149="","",IF(COUNTIF(Trazabilidad!$A$5:$A$60,C149)&gt;0,"✓","Revisar"))</f>
        <v/>
      </c>
      <c r="Q149" s="14"/>
    </row>
    <row r="150" spans="1:17">
      <c r="A150" s="13"/>
      <c r="B150" s="13"/>
      <c r="C150" s="14"/>
      <c r="D150" s="13"/>
      <c r="E150" s="14"/>
      <c r="F150" s="13"/>
      <c r="G150" s="15"/>
      <c r="H150" s="13"/>
      <c r="I150" s="13"/>
      <c r="J150" s="13"/>
      <c r="K150" s="16"/>
      <c r="L150" s="17" t="str">
        <f t="shared" si="4"/>
        <v/>
      </c>
      <c r="M150" s="13"/>
      <c r="N150" s="14"/>
      <c r="O150" s="13"/>
      <c r="P150" s="18" t="str">
        <f>IF(C150="","",IF(COUNTIF(Trazabilidad!$A$5:$A$60,C150)&gt;0,"✓","Revisar"))</f>
        <v/>
      </c>
      <c r="Q150" s="14"/>
    </row>
    <row r="151" spans="1:17">
      <c r="A151" s="13"/>
      <c r="B151" s="13"/>
      <c r="C151" s="14"/>
      <c r="D151" s="13"/>
      <c r="E151" s="14"/>
      <c r="F151" s="13"/>
      <c r="G151" s="15"/>
      <c r="H151" s="13"/>
      <c r="I151" s="13"/>
      <c r="J151" s="13"/>
      <c r="K151" s="16"/>
      <c r="L151" s="17" t="str">
        <f t="shared" si="4"/>
        <v/>
      </c>
      <c r="M151" s="13"/>
      <c r="N151" s="14"/>
      <c r="O151" s="13"/>
      <c r="P151" s="18" t="str">
        <f>IF(C151="","",IF(COUNTIF(Trazabilidad!$A$5:$A$60,C151)&gt;0,"✓","Revisar"))</f>
        <v/>
      </c>
      <c r="Q151" s="14"/>
    </row>
    <row r="152" spans="1:17">
      <c r="A152" s="13"/>
      <c r="B152" s="13"/>
      <c r="C152" s="14"/>
      <c r="D152" s="13"/>
      <c r="E152" s="14"/>
      <c r="F152" s="13"/>
      <c r="G152" s="15"/>
      <c r="H152" s="13"/>
      <c r="I152" s="13"/>
      <c r="J152" s="13"/>
      <c r="K152" s="16"/>
      <c r="L152" s="17" t="str">
        <f t="shared" si="4"/>
        <v/>
      </c>
      <c r="M152" s="13"/>
      <c r="N152" s="14"/>
      <c r="O152" s="13"/>
      <c r="P152" s="18" t="str">
        <f>IF(C152="","",IF(COUNTIF(Trazabilidad!$A$5:$A$60,C152)&gt;0,"✓","Revisar"))</f>
        <v/>
      </c>
      <c r="Q152" s="14"/>
    </row>
    <row r="153" spans="1:17">
      <c r="A153" s="13"/>
      <c r="B153" s="13"/>
      <c r="C153" s="14"/>
      <c r="D153" s="13"/>
      <c r="E153" s="14"/>
      <c r="F153" s="13"/>
      <c r="G153" s="15"/>
      <c r="H153" s="13"/>
      <c r="I153" s="13"/>
      <c r="J153" s="13"/>
      <c r="K153" s="16"/>
      <c r="L153" s="17" t="str">
        <f t="shared" si="4"/>
        <v/>
      </c>
      <c r="M153" s="13"/>
      <c r="N153" s="14"/>
      <c r="O153" s="13"/>
      <c r="P153" s="18" t="str">
        <f>IF(C153="","",IF(COUNTIF(Trazabilidad!$A$5:$A$60,C153)&gt;0,"✓","Revisar"))</f>
        <v/>
      </c>
      <c r="Q153" s="14"/>
    </row>
    <row r="154" spans="1:17">
      <c r="A154" s="13"/>
      <c r="B154" s="13"/>
      <c r="C154" s="14"/>
      <c r="D154" s="13"/>
      <c r="E154" s="14"/>
      <c r="F154" s="13"/>
      <c r="G154" s="15"/>
      <c r="H154" s="13"/>
      <c r="I154" s="13"/>
      <c r="J154" s="13"/>
      <c r="K154" s="16"/>
      <c r="L154" s="17" t="str">
        <f t="shared" si="4"/>
        <v/>
      </c>
      <c r="M154" s="13"/>
      <c r="N154" s="14"/>
      <c r="O154" s="13"/>
      <c r="P154" s="18" t="str">
        <f>IF(C154="","",IF(COUNTIF(Trazabilidad!$A$5:$A$60,C154)&gt;0,"✓","Revisar"))</f>
        <v/>
      </c>
      <c r="Q154" s="14"/>
    </row>
    <row r="155" spans="1:17">
      <c r="A155" s="13"/>
      <c r="B155" s="13"/>
      <c r="C155" s="14"/>
      <c r="D155" s="13"/>
      <c r="E155" s="14"/>
      <c r="F155" s="13"/>
      <c r="G155" s="15"/>
      <c r="H155" s="13"/>
      <c r="I155" s="13"/>
      <c r="J155" s="13"/>
      <c r="K155" s="16"/>
      <c r="L155" s="17" t="str">
        <f t="shared" si="4"/>
        <v/>
      </c>
      <c r="M155" s="13"/>
      <c r="N155" s="14"/>
      <c r="O155" s="13"/>
      <c r="P155" s="18" t="str">
        <f>IF(C155="","",IF(COUNTIF(Trazabilidad!$A$5:$A$60,C155)&gt;0,"✓","Revisar"))</f>
        <v/>
      </c>
      <c r="Q155" s="14"/>
    </row>
    <row r="156" spans="1:17">
      <c r="A156" s="13"/>
      <c r="B156" s="13"/>
      <c r="C156" s="14"/>
      <c r="D156" s="13"/>
      <c r="E156" s="14"/>
      <c r="F156" s="13"/>
      <c r="G156" s="15"/>
      <c r="H156" s="13"/>
      <c r="I156" s="13"/>
      <c r="J156" s="13"/>
      <c r="K156" s="16"/>
      <c r="L156" s="17" t="str">
        <f t="shared" si="4"/>
        <v/>
      </c>
      <c r="M156" s="13"/>
      <c r="N156" s="14"/>
      <c r="O156" s="13"/>
      <c r="P156" s="18" t="str">
        <f>IF(C156="","",IF(COUNTIF(Trazabilidad!$A$5:$A$60,C156)&gt;0,"✓","Revisar"))</f>
        <v/>
      </c>
      <c r="Q156" s="14"/>
    </row>
    <row r="157" spans="1:17">
      <c r="A157" s="13"/>
      <c r="B157" s="13"/>
      <c r="C157" s="14"/>
      <c r="D157" s="13"/>
      <c r="E157" s="14"/>
      <c r="F157" s="13"/>
      <c r="G157" s="15"/>
      <c r="H157" s="13"/>
      <c r="I157" s="13"/>
      <c r="J157" s="13"/>
      <c r="K157" s="16"/>
      <c r="L157" s="17" t="str">
        <f t="shared" si="4"/>
        <v/>
      </c>
      <c r="M157" s="13"/>
      <c r="N157" s="14"/>
      <c r="O157" s="13"/>
      <c r="P157" s="18" t="str">
        <f>IF(C157="","",IF(COUNTIF(Trazabilidad!$A$5:$A$60,C157)&gt;0,"✓","Revisar"))</f>
        <v/>
      </c>
      <c r="Q157" s="14"/>
    </row>
    <row r="158" spans="1:17">
      <c r="A158" s="13"/>
      <c r="B158" s="13"/>
      <c r="C158" s="14"/>
      <c r="D158" s="13"/>
      <c r="E158" s="14"/>
      <c r="F158" s="13"/>
      <c r="G158" s="15"/>
      <c r="H158" s="13"/>
      <c r="I158" s="13"/>
      <c r="J158" s="13"/>
      <c r="K158" s="16"/>
      <c r="L158" s="17" t="str">
        <f t="shared" ref="L158:L165" si="5">IF(OR(G158="",K158=""),"",G158*K158)</f>
        <v/>
      </c>
      <c r="M158" s="13"/>
      <c r="N158" s="14"/>
      <c r="O158" s="13"/>
      <c r="P158" s="18" t="str">
        <f>IF(C158="","",IF(COUNTIF(Trazabilidad!$A$5:$A$60,C158)&gt;0,"✓","Revisar"))</f>
        <v/>
      </c>
      <c r="Q158" s="14"/>
    </row>
    <row r="159" spans="1:17">
      <c r="A159" s="13"/>
      <c r="B159" s="13"/>
      <c r="C159" s="14"/>
      <c r="D159" s="13"/>
      <c r="E159" s="14"/>
      <c r="F159" s="13"/>
      <c r="G159" s="15"/>
      <c r="H159" s="13"/>
      <c r="I159" s="13"/>
      <c r="J159" s="13"/>
      <c r="K159" s="16"/>
      <c r="L159" s="17" t="str">
        <f t="shared" si="5"/>
        <v/>
      </c>
      <c r="M159" s="13"/>
      <c r="N159" s="14"/>
      <c r="O159" s="13"/>
      <c r="P159" s="18" t="str">
        <f>IF(C159="","",IF(COUNTIF(Trazabilidad!$A$5:$A$60,C159)&gt;0,"✓","Revisar"))</f>
        <v/>
      </c>
      <c r="Q159" s="14"/>
    </row>
    <row r="160" spans="1:17">
      <c r="A160" s="13"/>
      <c r="B160" s="13"/>
      <c r="C160" s="14"/>
      <c r="D160" s="13"/>
      <c r="E160" s="14"/>
      <c r="F160" s="13"/>
      <c r="G160" s="15"/>
      <c r="H160" s="13"/>
      <c r="I160" s="13"/>
      <c r="J160" s="13"/>
      <c r="K160" s="16"/>
      <c r="L160" s="17" t="str">
        <f t="shared" si="5"/>
        <v/>
      </c>
      <c r="M160" s="13"/>
      <c r="N160" s="14"/>
      <c r="O160" s="13"/>
      <c r="P160" s="18" t="str">
        <f>IF(C160="","",IF(COUNTIF(Trazabilidad!$A$5:$A$60,C160)&gt;0,"✓","Revisar"))</f>
        <v/>
      </c>
      <c r="Q160" s="14"/>
    </row>
    <row r="161" spans="1:17">
      <c r="A161" s="13"/>
      <c r="B161" s="13"/>
      <c r="C161" s="14"/>
      <c r="D161" s="13"/>
      <c r="E161" s="14"/>
      <c r="F161" s="13"/>
      <c r="G161" s="15"/>
      <c r="H161" s="13"/>
      <c r="I161" s="13"/>
      <c r="J161" s="13"/>
      <c r="K161" s="16"/>
      <c r="L161" s="17" t="str">
        <f t="shared" si="5"/>
        <v/>
      </c>
      <c r="M161" s="13"/>
      <c r="N161" s="14"/>
      <c r="O161" s="13"/>
      <c r="P161" s="18" t="str">
        <f>IF(C161="","",IF(COUNTIF(Trazabilidad!$A$5:$A$60,C161)&gt;0,"✓","Revisar"))</f>
        <v/>
      </c>
      <c r="Q161" s="14"/>
    </row>
    <row r="162" spans="1:17">
      <c r="A162" s="13"/>
      <c r="B162" s="13"/>
      <c r="C162" s="14"/>
      <c r="D162" s="13"/>
      <c r="E162" s="14"/>
      <c r="F162" s="13"/>
      <c r="G162" s="15"/>
      <c r="H162" s="13"/>
      <c r="I162" s="13"/>
      <c r="J162" s="13"/>
      <c r="K162" s="16"/>
      <c r="L162" s="17" t="str">
        <f t="shared" si="5"/>
        <v/>
      </c>
      <c r="M162" s="13"/>
      <c r="N162" s="14"/>
      <c r="O162" s="13"/>
      <c r="P162" s="18" t="str">
        <f>IF(C162="","",IF(COUNTIF(Trazabilidad!$A$5:$A$60,C162)&gt;0,"✓","Revisar"))</f>
        <v/>
      </c>
      <c r="Q162" s="14"/>
    </row>
    <row r="163" spans="1:17">
      <c r="A163" s="13"/>
      <c r="B163" s="13"/>
      <c r="C163" s="14"/>
      <c r="D163" s="13"/>
      <c r="E163" s="14"/>
      <c r="F163" s="13"/>
      <c r="G163" s="15"/>
      <c r="H163" s="13"/>
      <c r="I163" s="13"/>
      <c r="J163" s="13"/>
      <c r="K163" s="16"/>
      <c r="L163" s="17" t="str">
        <f t="shared" si="5"/>
        <v/>
      </c>
      <c r="M163" s="13"/>
      <c r="N163" s="14"/>
      <c r="O163" s="13"/>
      <c r="P163" s="18" t="str">
        <f>IF(C163="","",IF(COUNTIF(Trazabilidad!$A$5:$A$60,C163)&gt;0,"✓","Revisar"))</f>
        <v/>
      </c>
      <c r="Q163" s="14"/>
    </row>
    <row r="164" spans="1:17">
      <c r="A164" s="13"/>
      <c r="B164" s="13"/>
      <c r="C164" s="14"/>
      <c r="D164" s="13"/>
      <c r="E164" s="14"/>
      <c r="F164" s="13"/>
      <c r="G164" s="15"/>
      <c r="H164" s="13"/>
      <c r="I164" s="13"/>
      <c r="J164" s="13"/>
      <c r="K164" s="16"/>
      <c r="L164" s="17" t="str">
        <f t="shared" si="5"/>
        <v/>
      </c>
      <c r="M164" s="13"/>
      <c r="N164" s="14"/>
      <c r="O164" s="13"/>
      <c r="P164" s="18" t="str">
        <f>IF(C164="","",IF(COUNTIF(Trazabilidad!$A$5:$A$60,C164)&gt;0,"✓","Revisar"))</f>
        <v/>
      </c>
      <c r="Q164" s="14"/>
    </row>
    <row r="165" spans="1:17">
      <c r="A165" s="13"/>
      <c r="B165" s="13"/>
      <c r="C165" s="14"/>
      <c r="D165" s="13"/>
      <c r="E165" s="14"/>
      <c r="F165" s="13"/>
      <c r="G165" s="15"/>
      <c r="H165" s="13"/>
      <c r="I165" s="13"/>
      <c r="J165" s="13"/>
      <c r="K165" s="16"/>
      <c r="L165" s="17" t="str">
        <f t="shared" si="5"/>
        <v/>
      </c>
      <c r="M165" s="13"/>
      <c r="N165" s="14"/>
      <c r="O165" s="13"/>
      <c r="P165" s="18" t="str">
        <f>IF(C165="","",IF(COUNTIF(Trazabilidad!$A$5:$A$60,C165)&gt;0,"✓","Revisar"))</f>
        <v/>
      </c>
      <c r="Q165" s="14"/>
    </row>
  </sheetData>
  <autoFilter ref="A8:Q165" xr:uid="{00000000-0009-0000-0000-000001000000}"/>
  <conditionalFormatting sqref="K24:K165">
    <cfRule type="expression" dxfId="2" priority="3">
      <formula>AND($D24&lt;&gt;"",$K24="")</formula>
    </cfRule>
  </conditionalFormatting>
  <conditionalFormatting sqref="P24:P165">
    <cfRule type="cellIs" dxfId="1" priority="2" operator="equal">
      <formula>"Revisar"</formula>
    </cfRule>
  </conditionalFormatting>
  <hyperlinks>
    <hyperlink ref="J9" r:id="rId1" xr:uid="{AC1FB3E0-3EA1-474E-B2A8-89BE75F80A13}"/>
    <hyperlink ref="M9" r:id="rId2" xr:uid="{4D7E9B2B-1526-4912-BDB6-AC7035214F04}"/>
    <hyperlink ref="J22" r:id="rId3" xr:uid="{E3F6D0B6-360A-404C-BB58-D25646CAF369}"/>
    <hyperlink ref="J19" r:id="rId4" display="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" xr:uid="{C49B385D-14C5-43C8-84EC-8187BF544B62}"/>
    <hyperlink ref="J11" r:id="rId5" display="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" xr:uid="{CB771CC2-7EC7-47B6-A2FB-7611D23F5103}"/>
    <hyperlink ref="J12" r:id="rId6" xr:uid="{8C602DFC-2CDD-4748-A3BD-EEAB912B4458}"/>
    <hyperlink ref="J14" r:id="rId7" xr:uid="{71B32DCC-2BC4-4949-B731-5D3CDF710014}"/>
    <hyperlink ref="J15" r:id="rId8" xr:uid="{7E952400-B255-4C63-BA24-1FF1BAB57D23}"/>
    <hyperlink ref="J16" r:id="rId9" xr:uid="{B6147679-3115-4417-A0F6-38AE97D91AA9}"/>
    <hyperlink ref="J17" r:id="rId10" xr:uid="{F123EF48-4B6F-4AD6-B093-2DEBA841B4C6}"/>
    <hyperlink ref="J23" r:id="rId11" xr:uid="{C77BCDA2-B1EE-45E4-A3D5-A84A1F14C6CA}"/>
    <hyperlink ref="N23" r:id="rId12" xr:uid="{5A47122B-C37A-4688-A97F-85AB0D1979F3}"/>
    <hyperlink ref="J13" r:id="rId13" xr:uid="{55D32F1E-D730-4A6F-8A9D-3F8269692FEE}"/>
    <hyperlink ref="J10" r:id="rId14" xr:uid="{05B84BD8-C11D-4140-9A59-7A7DEC6F771A}"/>
    <hyperlink ref="J27" r:id="rId15" xr:uid="{C2E6D292-FF56-4AC1-ACDA-60B868112F12}"/>
    <hyperlink ref="J24" r:id="rId16" xr:uid="{9A2377CA-D90E-4E64-A584-98EB3094CE23}"/>
    <hyperlink ref="J26" r:id="rId17" xr:uid="{15152489-B05F-4CC8-8B82-9627D59D5203}"/>
    <hyperlink ref="J28" r:id="rId18" xr:uid="{1C2A7517-0535-4E5B-B529-5D9B961F4E3F}"/>
    <hyperlink ref="J18" r:id="rId19" xr:uid="{085851C1-1C21-4B96-B45B-951C91E8CD46}"/>
    <hyperlink ref="J20" r:id="rId20" xr:uid="{E2948D18-745C-4080-ACC8-3E9153597D6B}"/>
    <hyperlink ref="J21" r:id="rId21" xr:uid="{2145156B-AA43-4123-8242-F0BB5EDD7348}"/>
  </hyperlinks>
  <pageMargins left="0.75" right="0.75" top="1" bottom="1" header="0.511811023622047" footer="0.511811023622047"/>
  <pageSetup paperSize="9" orientation="portrait" horizontalDpi="300" verticalDpi="300" r:id="rId2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Listas!$A$2:$A$7</xm:f>
          </x14:formula1>
          <x14:formula2>
            <xm:f>0</xm:f>
          </x14:formula2>
          <xm:sqref>B24:B165</xm:sqref>
        </x14:dataValidation>
        <x14:dataValidation type="list" allowBlank="1" xr:uid="{00000000-0002-0000-0100-000001000000}">
          <x14:formula1>
            <xm:f>Listas!$B$2:$B$10</xm:f>
          </x14:formula1>
          <x14:formula2>
            <xm:f>0</xm:f>
          </x14:formula2>
          <xm:sqref>H24:H165</xm:sqref>
        </x14:dataValidation>
        <x14:dataValidation type="list" allowBlank="1" xr:uid="{00000000-0002-0000-0100-000002000000}">
          <x14:formula1>
            <xm:f>Listas!$C$2:$C$5</xm:f>
          </x14:formula1>
          <x14:formula2>
            <xm:f>0</xm:f>
          </x14:formula2>
          <xm:sqref>M24:M165</xm:sqref>
        </x14:dataValidation>
        <x14:dataValidation type="list" allowBlank="1" xr:uid="{00000000-0002-0000-0100-000003000000}">
          <x14:formula1>
            <xm:f>Listas!$D$2:$D$7</xm:f>
          </x14:formula1>
          <x14:formula2>
            <xm:f>0</xm:f>
          </x14:formula2>
          <xm:sqref>O28:O165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zoomScale="85" zoomScaleNormal="85" workbookViewId="0">
      <pane ySplit="4" topLeftCell="A14" activePane="bottomLeft" state="frozen"/>
      <selection pane="bottomLeft" activeCell="A38" sqref="A38"/>
    </sheetView>
  </sheetViews>
  <sheetFormatPr defaultColWidth="8.7109375" defaultRowHeight="15"/>
  <cols>
    <col min="1" max="1" width="34" customWidth="1"/>
    <col min="2" max="2" width="22" customWidth="1"/>
    <col min="3" max="3" width="108" bestFit="1" customWidth="1"/>
    <col min="4" max="4" width="16" customWidth="1"/>
    <col min="5" max="5" width="20" customWidth="1"/>
    <col min="6" max="6" width="30" customWidth="1"/>
  </cols>
  <sheetData>
    <row r="1" spans="1:6" ht="20.25">
      <c r="A1" s="1" t="s">
        <v>214</v>
      </c>
    </row>
    <row r="2" spans="1:6">
      <c r="A2" s="2" t="s">
        <v>215</v>
      </c>
    </row>
    <row r="4" spans="1:6" ht="30">
      <c r="A4" s="12" t="s">
        <v>216</v>
      </c>
      <c r="B4" s="12" t="s">
        <v>217</v>
      </c>
      <c r="C4" s="12" t="s">
        <v>218</v>
      </c>
      <c r="D4" s="12" t="s">
        <v>219</v>
      </c>
      <c r="E4" s="12" t="s">
        <v>220</v>
      </c>
      <c r="F4" s="12" t="s">
        <v>34</v>
      </c>
    </row>
    <row r="5" spans="1:6" ht="30">
      <c r="A5" s="35" t="s">
        <v>221</v>
      </c>
      <c r="B5" s="14" t="s">
        <v>222</v>
      </c>
      <c r="C5" s="14" t="s">
        <v>223</v>
      </c>
      <c r="D5" s="19">
        <f>IF(A5="","",COUNTIF(BOM!$C$9:$C$165,A5))</f>
        <v>0</v>
      </c>
      <c r="E5" s="20">
        <f>IF(A5="","",SUMIF(BOM!$C$9:$C$165,A5,BOM!$L$9:$L$165))</f>
        <v>0</v>
      </c>
      <c r="F5" s="19" t="str">
        <f t="shared" ref="F5:F35" si="0">IF(A5="","",IF(D5=0,IF(B5="6 Información","Servicio / software (sin BOM físico)","Sin componente → falta en BOM"),"OK"))</f>
        <v>Sin componente → falta en BOM</v>
      </c>
    </row>
    <row r="6" spans="1:6" ht="30">
      <c r="A6" s="14" t="s">
        <v>224</v>
      </c>
      <c r="B6" s="14" t="s">
        <v>222</v>
      </c>
      <c r="C6" s="14" t="s">
        <v>225</v>
      </c>
      <c r="D6" s="19">
        <f>IF(A6="","",COUNTIF(BOM!$C$9:$C$165,A6))</f>
        <v>0</v>
      </c>
      <c r="E6" s="20">
        <f>IF(A6="","",SUMIF(BOM!$C$9:$C$165,A6,BOM!$L$9:$L$165))</f>
        <v>0</v>
      </c>
      <c r="F6" s="19" t="str">
        <f t="shared" si="0"/>
        <v>Sin componente → falta en BOM</v>
      </c>
    </row>
    <row r="7" spans="1:6" ht="30">
      <c r="A7" s="14" t="s">
        <v>226</v>
      </c>
      <c r="B7" s="14" t="s">
        <v>227</v>
      </c>
      <c r="C7" s="14" t="s">
        <v>228</v>
      </c>
      <c r="D7" s="19">
        <f>IF(A7="","",COUNTIF(BOM!$C$9:$C$165,A7))</f>
        <v>0</v>
      </c>
      <c r="E7" s="20">
        <f>IF(A7="","",SUMIF(BOM!$C$9:$C$165,A7,BOM!$L$9:$L$165))</f>
        <v>0</v>
      </c>
      <c r="F7" s="19" t="str">
        <f t="shared" si="0"/>
        <v>Sin componente → falta en BOM</v>
      </c>
    </row>
    <row r="8" spans="1:6" ht="30">
      <c r="A8" s="14" t="s">
        <v>229</v>
      </c>
      <c r="B8" s="14" t="s">
        <v>230</v>
      </c>
      <c r="C8" s="14" t="s">
        <v>231</v>
      </c>
      <c r="D8" s="19">
        <f>IF(A8="","",COUNTIF(BOM!$C$9:$C$165,A8))</f>
        <v>0</v>
      </c>
      <c r="E8" s="20">
        <f>IF(A8="","",SUMIF(BOM!$C$9:$C$165,A8,BOM!$L$9:$L$165))</f>
        <v>0</v>
      </c>
      <c r="F8" s="19" t="str">
        <f t="shared" si="0"/>
        <v>Sin componente → falta en BOM</v>
      </c>
    </row>
    <row r="9" spans="1:6" ht="30">
      <c r="A9" s="14" t="s">
        <v>232</v>
      </c>
      <c r="B9" s="14" t="s">
        <v>222</v>
      </c>
      <c r="C9" s="14" t="s">
        <v>233</v>
      </c>
      <c r="D9" s="19">
        <f>IF(A9="","",COUNTIF(BOM!$C$9:$C$165,A9))</f>
        <v>0</v>
      </c>
      <c r="E9" s="20">
        <f>IF(A9="","",SUMIF(BOM!$C$9:$C$165,A9,BOM!$L$9:$L$165))</f>
        <v>0</v>
      </c>
      <c r="F9" s="19" t="str">
        <f t="shared" si="0"/>
        <v>Sin componente → falta en BOM</v>
      </c>
    </row>
    <row r="10" spans="1:6" ht="30">
      <c r="A10" s="14" t="s">
        <v>234</v>
      </c>
      <c r="B10" s="14" t="s">
        <v>222</v>
      </c>
      <c r="C10" s="14" t="s">
        <v>235</v>
      </c>
      <c r="D10" s="19">
        <f>IF(A10="","",COUNTIF(BOM!$C$9:$C$165,A10))</f>
        <v>0</v>
      </c>
      <c r="E10" s="20">
        <f>IF(A10="","",SUMIF(BOM!$C$9:$C$165,A10,BOM!$L$9:$L$165))</f>
        <v>0</v>
      </c>
      <c r="F10" s="19" t="str">
        <f t="shared" si="0"/>
        <v>Sin componente → falta en BOM</v>
      </c>
    </row>
    <row r="11" spans="1:6" ht="30">
      <c r="A11" s="14" t="s">
        <v>236</v>
      </c>
      <c r="B11" s="14" t="s">
        <v>237</v>
      </c>
      <c r="C11" s="14" t="s">
        <v>238</v>
      </c>
      <c r="D11" s="19">
        <f>IF(A11="","",COUNTIF(BOM!$C$9:$C$165,A11))</f>
        <v>0</v>
      </c>
      <c r="E11" s="20">
        <f>IF(A11="","",SUMIF(BOM!$C$9:$C$165,A11,BOM!$L$9:$L$165))</f>
        <v>0</v>
      </c>
      <c r="F11" s="19" t="str">
        <f t="shared" si="0"/>
        <v>Sin componente → falta en BOM</v>
      </c>
    </row>
    <row r="12" spans="1:6" ht="30">
      <c r="A12" s="14" t="s">
        <v>239</v>
      </c>
      <c r="B12" s="14" t="s">
        <v>237</v>
      </c>
      <c r="C12" s="14" t="s">
        <v>240</v>
      </c>
      <c r="D12" s="19">
        <f>IF(A12="","",COUNTIF(BOM!$C$9:$C$165,A12))</f>
        <v>0</v>
      </c>
      <c r="E12" s="20">
        <f>IF(A12="","",SUMIF(BOM!$C$9:$C$165,A12,BOM!$L$9:$L$165))</f>
        <v>0</v>
      </c>
      <c r="F12" s="19" t="str">
        <f t="shared" si="0"/>
        <v>Sin componente → falta en BOM</v>
      </c>
    </row>
    <row r="13" spans="1:6" ht="28.5">
      <c r="A13" s="14" t="s">
        <v>241</v>
      </c>
      <c r="B13" s="14" t="s">
        <v>242</v>
      </c>
      <c r="C13" s="14" t="s">
        <v>243</v>
      </c>
      <c r="D13" s="19">
        <f>IF(A13="","",COUNTIF(BOM!$C$9:$C$165,A13))</f>
        <v>0</v>
      </c>
      <c r="E13" s="20">
        <f>IF(A13="","",SUMIF(BOM!$C$9:$C$165,A13,BOM!$L$9:$L$165))</f>
        <v>0</v>
      </c>
      <c r="F13" s="19" t="str">
        <f t="shared" si="0"/>
        <v>Servicio / software (sin BOM físico)</v>
      </c>
    </row>
    <row r="14" spans="1:6">
      <c r="A14" s="34" t="s">
        <v>244</v>
      </c>
      <c r="B14" s="34" t="s">
        <v>244</v>
      </c>
      <c r="C14" s="34" t="s">
        <v>244</v>
      </c>
      <c r="D14" s="34" t="s">
        <v>244</v>
      </c>
      <c r="E14" s="34" t="s">
        <v>244</v>
      </c>
      <c r="F14" s="19"/>
    </row>
    <row r="15" spans="1:6" ht="30.75">
      <c r="A15" s="36" t="s">
        <v>87</v>
      </c>
      <c r="B15" s="14" t="s">
        <v>222</v>
      </c>
      <c r="C15" s="36" t="s">
        <v>245</v>
      </c>
      <c r="D15" s="19">
        <v>1</v>
      </c>
      <c r="E15" s="20">
        <f>BOM!K11</f>
        <v>3000</v>
      </c>
      <c r="F15" s="19" t="str">
        <f t="shared" si="0"/>
        <v>OK</v>
      </c>
    </row>
    <row r="16" spans="1:6">
      <c r="A16" t="s">
        <v>105</v>
      </c>
      <c r="B16" s="14" t="s">
        <v>222</v>
      </c>
      <c r="C16" t="s">
        <v>246</v>
      </c>
      <c r="D16" s="19">
        <v>1</v>
      </c>
      <c r="E16" s="20" t="s">
        <v>247</v>
      </c>
      <c r="F16" s="19" t="str">
        <f t="shared" si="0"/>
        <v>OK</v>
      </c>
    </row>
    <row r="17" spans="1:6">
      <c r="A17" t="s">
        <v>97</v>
      </c>
      <c r="B17" s="14" t="s">
        <v>222</v>
      </c>
      <c r="C17" t="s">
        <v>248</v>
      </c>
      <c r="D17" s="19">
        <f>IF(A17="","",COUNTIF(BOM!$C$9:$C$165,A17))</f>
        <v>1</v>
      </c>
      <c r="E17" s="20" t="s">
        <v>247</v>
      </c>
      <c r="F17" s="19" t="str">
        <f t="shared" si="0"/>
        <v>OK</v>
      </c>
    </row>
    <row r="18" spans="1:6">
      <c r="A18" t="s">
        <v>249</v>
      </c>
      <c r="B18" s="14" t="s">
        <v>222</v>
      </c>
      <c r="C18" t="s">
        <v>250</v>
      </c>
      <c r="D18" s="19">
        <v>1</v>
      </c>
      <c r="E18" s="20" t="s">
        <v>247</v>
      </c>
      <c r="F18" s="19" t="str">
        <f t="shared" si="0"/>
        <v>OK</v>
      </c>
    </row>
    <row r="19" spans="1:6">
      <c r="A19" t="s">
        <v>251</v>
      </c>
      <c r="B19" s="14" t="s">
        <v>222</v>
      </c>
      <c r="C19" t="s">
        <v>252</v>
      </c>
      <c r="D19" s="19">
        <v>1</v>
      </c>
      <c r="E19" s="20" t="s">
        <v>247</v>
      </c>
      <c r="F19" s="19" t="str">
        <f t="shared" si="0"/>
        <v>OK</v>
      </c>
    </row>
    <row r="20" spans="1:6">
      <c r="A20" t="s">
        <v>253</v>
      </c>
      <c r="B20" s="14" t="s">
        <v>222</v>
      </c>
      <c r="C20" t="s">
        <v>254</v>
      </c>
      <c r="D20" s="19">
        <v>1</v>
      </c>
      <c r="E20" s="20" t="s">
        <v>247</v>
      </c>
      <c r="F20" s="19" t="str">
        <f t="shared" si="0"/>
        <v>OK</v>
      </c>
    </row>
    <row r="21" spans="1:6">
      <c r="A21" t="s">
        <v>255</v>
      </c>
      <c r="B21" s="14" t="s">
        <v>222</v>
      </c>
      <c r="C21" t="s">
        <v>256</v>
      </c>
      <c r="D21" s="19">
        <v>1</v>
      </c>
      <c r="E21" s="20" t="s">
        <v>247</v>
      </c>
      <c r="F21" s="19" t="str">
        <f t="shared" si="0"/>
        <v>OK</v>
      </c>
    </row>
    <row r="22" spans="1:6">
      <c r="A22" t="s">
        <v>257</v>
      </c>
      <c r="B22" s="14" t="s">
        <v>222</v>
      </c>
      <c r="C22" t="s">
        <v>258</v>
      </c>
      <c r="D22" s="19">
        <v>1</v>
      </c>
      <c r="E22" s="20" t="s">
        <v>247</v>
      </c>
      <c r="F22" s="19" t="str">
        <f t="shared" si="0"/>
        <v>OK</v>
      </c>
    </row>
    <row r="23" spans="1:6">
      <c r="A23" t="s">
        <v>259</v>
      </c>
      <c r="B23" s="14" t="s">
        <v>222</v>
      </c>
      <c r="C23" t="s">
        <v>260</v>
      </c>
      <c r="D23" s="19">
        <v>1</v>
      </c>
      <c r="E23" s="20" t="s">
        <v>247</v>
      </c>
      <c r="F23" s="19" t="str">
        <f t="shared" si="0"/>
        <v>OK</v>
      </c>
    </row>
    <row r="24" spans="1:6">
      <c r="A24" t="s">
        <v>261</v>
      </c>
      <c r="B24" s="14" t="s">
        <v>222</v>
      </c>
      <c r="C24" t="s">
        <v>262</v>
      </c>
      <c r="D24" s="19">
        <v>1</v>
      </c>
      <c r="E24" s="20" t="s">
        <v>247</v>
      </c>
      <c r="F24" s="19" t="str">
        <f t="shared" si="0"/>
        <v>OK</v>
      </c>
    </row>
    <row r="25" spans="1:6">
      <c r="A25" t="s">
        <v>263</v>
      </c>
      <c r="B25" s="14" t="s">
        <v>222</v>
      </c>
      <c r="C25" t="s">
        <v>264</v>
      </c>
      <c r="D25" s="19">
        <v>1</v>
      </c>
      <c r="E25" s="20" t="s">
        <v>247</v>
      </c>
      <c r="F25" s="19" t="str">
        <f t="shared" si="0"/>
        <v>OK</v>
      </c>
    </row>
    <row r="26" spans="1:6">
      <c r="A26" t="s">
        <v>265</v>
      </c>
      <c r="B26" s="14" t="s">
        <v>227</v>
      </c>
      <c r="C26" t="s">
        <v>266</v>
      </c>
      <c r="D26" s="19">
        <v>1</v>
      </c>
      <c r="E26" s="20" t="s">
        <v>247</v>
      </c>
      <c r="F26" s="19" t="str">
        <f t="shared" si="0"/>
        <v>OK</v>
      </c>
    </row>
    <row r="27" spans="1:6">
      <c r="A27" t="s">
        <v>229</v>
      </c>
      <c r="B27" s="14" t="s">
        <v>230</v>
      </c>
      <c r="C27" t="s">
        <v>267</v>
      </c>
      <c r="D27" s="19">
        <v>2</v>
      </c>
      <c r="E27" s="20" t="s">
        <v>247</v>
      </c>
      <c r="F27" s="19" t="e">
        <f>IF(#REF!="","",IF(D27=0,IF(B27="6 Información","Servicio / software (sin BOM físico)","Sin componente → falta en BOM"),"OK"))</f>
        <v>#REF!</v>
      </c>
    </row>
    <row r="28" spans="1:6">
      <c r="A28" t="s">
        <v>268</v>
      </c>
      <c r="B28" s="14" t="s">
        <v>230</v>
      </c>
      <c r="C28" t="s">
        <v>269</v>
      </c>
      <c r="D28" s="19">
        <v>1</v>
      </c>
      <c r="E28" s="20" t="s">
        <v>247</v>
      </c>
      <c r="F28" s="19" t="str">
        <f>IF(A27="","",IF(D28=0,IF(B28="6 Información","Servicio / software (sin BOM físico)","Sin componente → falta en BOM"),"OK"))</f>
        <v>OK</v>
      </c>
    </row>
    <row r="29" spans="1:6">
      <c r="A29" t="s">
        <v>270</v>
      </c>
      <c r="B29" s="14" t="s">
        <v>230</v>
      </c>
      <c r="C29" t="s">
        <v>271</v>
      </c>
      <c r="D29" s="19">
        <v>1</v>
      </c>
      <c r="E29" s="20" t="s">
        <v>247</v>
      </c>
      <c r="F29" s="19" t="str">
        <f t="shared" si="0"/>
        <v>OK</v>
      </c>
    </row>
    <row r="30" spans="1:6">
      <c r="A30" t="s">
        <v>272</v>
      </c>
      <c r="B30" s="14" t="s">
        <v>230</v>
      </c>
      <c r="C30" t="s">
        <v>273</v>
      </c>
      <c r="D30" s="19">
        <v>1</v>
      </c>
      <c r="E30" s="20" t="s">
        <v>247</v>
      </c>
      <c r="F30" s="19" t="str">
        <f t="shared" si="0"/>
        <v>OK</v>
      </c>
    </row>
    <row r="31" spans="1:6">
      <c r="A31" t="s">
        <v>274</v>
      </c>
      <c r="B31" s="14" t="s">
        <v>242</v>
      </c>
      <c r="C31" t="s">
        <v>275</v>
      </c>
      <c r="D31" s="19">
        <v>1</v>
      </c>
      <c r="E31" s="20" t="s">
        <v>247</v>
      </c>
      <c r="F31" s="19" t="str">
        <f t="shared" si="0"/>
        <v>OK</v>
      </c>
    </row>
    <row r="32" spans="1:6">
      <c r="A32" t="s">
        <v>276</v>
      </c>
      <c r="B32" s="14" t="s">
        <v>237</v>
      </c>
      <c r="C32" t="s">
        <v>277</v>
      </c>
      <c r="D32" s="19">
        <v>1</v>
      </c>
      <c r="E32" s="20" t="s">
        <v>247</v>
      </c>
      <c r="F32" s="19" t="str">
        <f t="shared" si="0"/>
        <v>OK</v>
      </c>
    </row>
    <row r="33" spans="1:6">
      <c r="A33" t="s">
        <v>278</v>
      </c>
      <c r="B33" s="14" t="s">
        <v>237</v>
      </c>
      <c r="C33" t="s">
        <v>279</v>
      </c>
      <c r="D33" s="19">
        <v>1</v>
      </c>
      <c r="E33" s="20" t="s">
        <v>247</v>
      </c>
      <c r="F33" s="19" t="str">
        <f t="shared" si="0"/>
        <v>OK</v>
      </c>
    </row>
    <row r="34" spans="1:6">
      <c r="A34" t="s">
        <v>280</v>
      </c>
      <c r="B34" s="14" t="s">
        <v>237</v>
      </c>
      <c r="C34" t="s">
        <v>281</v>
      </c>
      <c r="D34" s="19">
        <v>1</v>
      </c>
      <c r="E34" s="20" t="s">
        <v>247</v>
      </c>
      <c r="F34" s="19" t="str">
        <f t="shared" si="0"/>
        <v>OK</v>
      </c>
    </row>
    <row r="35" spans="1:6">
      <c r="A35" t="s">
        <v>282</v>
      </c>
      <c r="B35" s="14" t="s">
        <v>237</v>
      </c>
      <c r="C35" t="s">
        <v>283</v>
      </c>
      <c r="D35" s="19">
        <v>1</v>
      </c>
      <c r="E35" s="20" t="s">
        <v>247</v>
      </c>
      <c r="F35" s="19" t="str">
        <f t="shared" si="0"/>
        <v>OK</v>
      </c>
    </row>
    <row r="36" spans="1:6">
      <c r="A36" s="14"/>
      <c r="B36" s="14"/>
      <c r="C36" s="14"/>
    </row>
    <row r="37" spans="1:6">
      <c r="A37" s="14"/>
      <c r="B37" s="14"/>
      <c r="C37" s="14"/>
    </row>
    <row r="38" spans="1:6">
      <c r="A38" s="14"/>
      <c r="B38" s="14"/>
      <c r="C38" s="14"/>
    </row>
    <row r="39" spans="1:6">
      <c r="A39" s="14"/>
      <c r="B39" s="14"/>
      <c r="C39" s="14"/>
    </row>
    <row r="40" spans="1:6">
      <c r="A40" s="14"/>
      <c r="B40" s="14"/>
      <c r="C40" s="14"/>
    </row>
    <row r="41" spans="1:6">
      <c r="A41" s="14"/>
      <c r="B41" s="14"/>
      <c r="C41" s="14"/>
    </row>
    <row r="42" spans="1:6">
      <c r="A42" s="14"/>
      <c r="B42" s="14"/>
      <c r="C42" s="14"/>
    </row>
    <row r="43" spans="1:6">
      <c r="A43" s="14"/>
      <c r="B43" s="14"/>
      <c r="C43" s="14"/>
    </row>
    <row r="44" spans="1:6">
      <c r="A44" s="14"/>
      <c r="B44" s="14"/>
      <c r="C44" s="14"/>
    </row>
    <row r="45" spans="1:6">
      <c r="A45" s="14"/>
      <c r="B45" s="14"/>
      <c r="C45" s="14"/>
    </row>
    <row r="46" spans="1:6">
      <c r="A46" s="14"/>
      <c r="B46" s="14"/>
      <c r="C46" s="14"/>
    </row>
    <row r="47" spans="1:6">
      <c r="A47" s="14"/>
      <c r="B47" s="14"/>
      <c r="C47" s="14"/>
    </row>
    <row r="48" spans="1:6">
      <c r="A48" s="14"/>
      <c r="B48" s="14"/>
      <c r="C48" s="14"/>
    </row>
    <row r="49" spans="1:3">
      <c r="A49" s="14"/>
      <c r="B49" s="14"/>
      <c r="C49" s="14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4"/>
      <c r="B52" s="14"/>
      <c r="C52" s="14"/>
    </row>
    <row r="53" spans="1:3">
      <c r="A53" s="14"/>
      <c r="B53" s="14"/>
      <c r="C53" s="14"/>
    </row>
    <row r="54" spans="1:3">
      <c r="A54" s="14"/>
      <c r="B54" s="14"/>
      <c r="C54" s="14"/>
    </row>
    <row r="55" spans="1:3">
      <c r="A55" s="14"/>
      <c r="B55" s="14"/>
      <c r="C55" s="14"/>
    </row>
    <row r="56" spans="1:3">
      <c r="A56" s="14"/>
      <c r="B56" s="14"/>
      <c r="C56" s="14"/>
    </row>
    <row r="57" spans="1:3">
      <c r="A57" s="14"/>
      <c r="B57" s="14"/>
      <c r="C57" s="14"/>
    </row>
    <row r="58" spans="1:3">
      <c r="A58" s="14"/>
      <c r="B58" s="14"/>
      <c r="C58" s="14"/>
    </row>
    <row r="59" spans="1:3">
      <c r="A59" s="14"/>
      <c r="B59" s="14"/>
      <c r="C59" s="14"/>
    </row>
    <row r="60" spans="1:3">
      <c r="A60" s="14"/>
      <c r="B60" s="14"/>
      <c r="C60" s="14"/>
    </row>
  </sheetData>
  <phoneticPr fontId="14" type="noConversion"/>
  <conditionalFormatting sqref="F5:F35">
    <cfRule type="expression" dxfId="0" priority="2">
      <formula>LEFT($F5,3)="Sin"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Listas!$E$2:$E$9</xm:f>
          </x14:formula1>
          <x14:formula2>
            <xm:f>0</xm:f>
          </x14:formula2>
          <xm:sqref>B5:B13 B15:B60</xm:sqref>
        </x14:dataValidation>
        <x14:dataValidation type="list" allowBlank="1" xr:uid="{72592E49-A99F-419C-8DC9-9F7026800F04}">
          <x14:formula1>
            <xm:f>Listas!$A$2:$A$7</xm:f>
          </x14:formula1>
          <x14:formula2>
            <xm:f>0</xm:f>
          </x14:formula2>
          <xm:sqref>A14:E14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/>
  </sheetViews>
  <sheetFormatPr defaultColWidth="8.7109375" defaultRowHeight="15"/>
  <cols>
    <col min="1" max="1" width="26" customWidth="1"/>
    <col min="2" max="2" width="12" customWidth="1"/>
    <col min="3" max="3" width="18" customWidth="1"/>
    <col min="4" max="4" width="14" customWidth="1"/>
    <col min="5" max="5" width="18" customWidth="1"/>
  </cols>
  <sheetData>
    <row r="1" spans="1:5" ht="20.25">
      <c r="A1" s="1" t="s">
        <v>284</v>
      </c>
    </row>
    <row r="3" spans="1:5">
      <c r="A3" s="21" t="s">
        <v>16</v>
      </c>
      <c r="B3" s="21" t="s">
        <v>285</v>
      </c>
      <c r="C3" s="21" t="s">
        <v>286</v>
      </c>
      <c r="D3" s="21" t="s">
        <v>287</v>
      </c>
      <c r="E3" s="21" t="s">
        <v>52</v>
      </c>
    </row>
    <row r="4" spans="1:5">
      <c r="A4" s="22" t="s">
        <v>288</v>
      </c>
      <c r="B4" s="23">
        <v>10</v>
      </c>
      <c r="C4" s="24">
        <f>BOM!L9+BOM!L10+BOM!L11+BOM!L12+BOM!L13+BOM!L14+BOM!L15+BOM!L16+BOM!L17</f>
        <v>46550</v>
      </c>
      <c r="D4" s="25">
        <f t="shared" ref="D4:D9" si="0">IF($C$10=0,0,C4/$C$10)</f>
        <v>0.62567204301075274</v>
      </c>
      <c r="E4" s="23">
        <f>COUNTIFS(BOM!$B$9:$B$165,A4,BOM!$K$9:$K$165,"")</f>
        <v>0</v>
      </c>
    </row>
    <row r="5" spans="1:5">
      <c r="A5" s="22" t="s">
        <v>289</v>
      </c>
      <c r="B5" s="23">
        <v>2</v>
      </c>
      <c r="C5" s="24">
        <f>BOM!L22+BOM!L23</f>
        <v>14180</v>
      </c>
      <c r="D5" s="25">
        <f t="shared" si="0"/>
        <v>0.19059139784946236</v>
      </c>
      <c r="E5" s="23">
        <f>COUNTIFS(BOM!$B$9:$B$165,A5,BOM!$K$9:$K$165,"")</f>
        <v>0</v>
      </c>
    </row>
    <row r="6" spans="1:5">
      <c r="A6" s="22" t="s">
        <v>290</v>
      </c>
      <c r="B6" s="23">
        <v>2</v>
      </c>
      <c r="C6" s="24">
        <f>SUMIF(BOM!$B$9:$B$165,A6,BOM!$L$9:$L$165)</f>
        <v>0</v>
      </c>
      <c r="D6" s="25">
        <f t="shared" si="0"/>
        <v>0</v>
      </c>
      <c r="E6" s="23">
        <f>COUNTIFS(BOM!$B$9:$B$165,A6,BOM!$K$9:$K$165,"")</f>
        <v>0</v>
      </c>
    </row>
    <row r="7" spans="1:5">
      <c r="A7" s="22" t="s">
        <v>199</v>
      </c>
      <c r="B7" s="23">
        <f>COUNTIF(BOM!$B$9:$B$165,A7)</f>
        <v>2</v>
      </c>
      <c r="C7" s="24">
        <f>SUMIF(BOM!$B$9:$B$165,A7,BOM!$L$9:$L$165)</f>
        <v>6880</v>
      </c>
      <c r="D7" s="25">
        <f t="shared" si="0"/>
        <v>9.2473118279569888E-2</v>
      </c>
      <c r="E7" s="23">
        <f>COUNTIFS(BOM!$B$9:$B$165,A7,BOM!$K$9:$K$165,"")</f>
        <v>0</v>
      </c>
    </row>
    <row r="8" spans="1:5">
      <c r="A8" s="22" t="s">
        <v>187</v>
      </c>
      <c r="B8" s="23">
        <f>COUNTIF(BOM!$B$9:$B$165,A8)</f>
        <v>2</v>
      </c>
      <c r="C8" s="24">
        <f>SUMIF(BOM!$B$9:$B$165,A8,BOM!$L$9:$L$165)</f>
        <v>6790</v>
      </c>
      <c r="D8" s="25">
        <f t="shared" si="0"/>
        <v>9.1263440860215053E-2</v>
      </c>
      <c r="E8" s="23">
        <f>COUNTIFS(BOM!$B$9:$B$165,A8,BOM!$K$9:$K$165,"")</f>
        <v>1</v>
      </c>
    </row>
    <row r="9" spans="1:5">
      <c r="A9" s="22" t="s">
        <v>291</v>
      </c>
      <c r="B9" s="23">
        <f>COUNTIF(BOM!$B$9:$B$165,A9)</f>
        <v>0</v>
      </c>
      <c r="C9" s="24">
        <v>0</v>
      </c>
      <c r="D9" s="25">
        <f t="shared" si="0"/>
        <v>0</v>
      </c>
      <c r="E9" s="23">
        <f>COUNTIFS(BOM!$B$9:$B$165,A9,BOM!$K$9:$K$165,"")</f>
        <v>0</v>
      </c>
    </row>
    <row r="10" spans="1:5">
      <c r="A10" s="26" t="s">
        <v>292</v>
      </c>
      <c r="B10" s="27">
        <f>SUM(B4:B9)</f>
        <v>18</v>
      </c>
      <c r="C10" s="28">
        <f>SUM(C4:C9)</f>
        <v>74400</v>
      </c>
      <c r="D10" s="29">
        <f>SUM(D4:D9)</f>
        <v>1</v>
      </c>
      <c r="E10" s="27">
        <f>SUM(E4:E9)</f>
        <v>1</v>
      </c>
    </row>
    <row r="12" spans="1:5">
      <c r="A12" s="2" t="s">
        <v>293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zoomScaleNormal="100" workbookViewId="0">
      <pane ySplit="3" topLeftCell="A4" activePane="bottomLeft" state="frozen"/>
      <selection pane="bottomLeft" activeCell="E4" sqref="E4"/>
    </sheetView>
  </sheetViews>
  <sheetFormatPr defaultColWidth="8.7109375" defaultRowHeight="15"/>
  <cols>
    <col min="1" max="1" width="12" customWidth="1"/>
    <col min="2" max="2" width="14" customWidth="1"/>
    <col min="3" max="3" width="18" customWidth="1"/>
    <col min="4" max="5" width="40" customWidth="1"/>
    <col min="6" max="7" width="20" customWidth="1"/>
  </cols>
  <sheetData>
    <row r="1" spans="1:7" ht="20.25">
      <c r="A1" s="1" t="s">
        <v>294</v>
      </c>
    </row>
    <row r="3" spans="1:7" ht="30">
      <c r="A3" s="30" t="s">
        <v>50</v>
      </c>
      <c r="B3" s="30" t="s">
        <v>53</v>
      </c>
      <c r="C3" s="30" t="s">
        <v>295</v>
      </c>
      <c r="D3" s="30" t="s">
        <v>296</v>
      </c>
      <c r="E3" s="30" t="s">
        <v>297</v>
      </c>
      <c r="F3" s="30" t="s">
        <v>298</v>
      </c>
      <c r="G3" s="30" t="s">
        <v>299</v>
      </c>
    </row>
    <row r="4" spans="1:7" ht="28.5">
      <c r="A4" s="14" t="s">
        <v>51</v>
      </c>
      <c r="B4" s="45">
        <v>46294</v>
      </c>
      <c r="C4" s="14" t="s">
        <v>48</v>
      </c>
      <c r="D4" s="14" t="s">
        <v>300</v>
      </c>
      <c r="E4" s="14" t="s">
        <v>301</v>
      </c>
      <c r="F4" s="14" t="s">
        <v>302</v>
      </c>
      <c r="G4" s="31"/>
    </row>
    <row r="5" spans="1:7">
      <c r="A5" s="14"/>
      <c r="B5" s="14"/>
      <c r="C5" s="14"/>
      <c r="D5" s="14"/>
      <c r="E5" s="14"/>
      <c r="F5" s="14"/>
      <c r="G5" s="31"/>
    </row>
    <row r="6" spans="1:7">
      <c r="A6" s="14"/>
      <c r="B6" s="14"/>
      <c r="C6" s="14"/>
      <c r="D6" s="14"/>
      <c r="E6" s="14"/>
      <c r="F6" s="14"/>
      <c r="G6" s="31"/>
    </row>
    <row r="7" spans="1:7">
      <c r="A7" s="14"/>
      <c r="B7" s="14"/>
      <c r="C7" s="14"/>
      <c r="D7" s="14"/>
      <c r="E7" s="14"/>
      <c r="F7" s="14"/>
      <c r="G7" s="31"/>
    </row>
    <row r="8" spans="1:7">
      <c r="A8" s="14"/>
      <c r="B8" s="14"/>
      <c r="C8" s="14"/>
      <c r="D8" s="14"/>
      <c r="E8" s="14"/>
      <c r="F8" s="14"/>
      <c r="G8" s="31"/>
    </row>
    <row r="9" spans="1:7">
      <c r="A9" s="14"/>
      <c r="B9" s="14"/>
      <c r="C9" s="14"/>
      <c r="D9" s="14"/>
      <c r="E9" s="14"/>
      <c r="F9" s="14"/>
      <c r="G9" s="31"/>
    </row>
    <row r="10" spans="1:7">
      <c r="A10" s="14"/>
      <c r="B10" s="14"/>
      <c r="C10" s="14"/>
      <c r="D10" s="14"/>
      <c r="E10" s="14"/>
      <c r="F10" s="14"/>
      <c r="G10" s="31"/>
    </row>
    <row r="11" spans="1:7">
      <c r="A11" s="14"/>
      <c r="B11" s="14"/>
      <c r="C11" s="14"/>
      <c r="D11" s="14"/>
      <c r="E11" s="14"/>
      <c r="F11" s="14"/>
      <c r="G11" s="31"/>
    </row>
    <row r="12" spans="1:7">
      <c r="A12" s="14"/>
      <c r="B12" s="14"/>
      <c r="C12" s="14"/>
      <c r="D12" s="14"/>
      <c r="E12" s="14"/>
      <c r="F12" s="14"/>
      <c r="G12" s="31"/>
    </row>
    <row r="13" spans="1:7">
      <c r="A13" s="14"/>
      <c r="B13" s="14"/>
      <c r="C13" s="14"/>
      <c r="D13" s="14"/>
      <c r="E13" s="14"/>
      <c r="F13" s="14"/>
      <c r="G13" s="31"/>
    </row>
    <row r="14" spans="1:7">
      <c r="A14" s="14"/>
      <c r="B14" s="14"/>
      <c r="C14" s="14"/>
      <c r="D14" s="14"/>
      <c r="E14" s="14"/>
      <c r="F14" s="14"/>
      <c r="G14" s="31"/>
    </row>
    <row r="15" spans="1:7">
      <c r="A15" s="14"/>
      <c r="B15" s="14"/>
      <c r="C15" s="14"/>
      <c r="D15" s="14"/>
      <c r="E15" s="14"/>
      <c r="F15" s="14"/>
      <c r="G15" s="31"/>
    </row>
    <row r="16" spans="1:7">
      <c r="A16" s="14"/>
      <c r="B16" s="14"/>
      <c r="C16" s="14"/>
      <c r="D16" s="14"/>
      <c r="E16" s="14"/>
      <c r="F16" s="14"/>
      <c r="G16" s="31"/>
    </row>
    <row r="17" spans="1:7">
      <c r="A17" s="14"/>
      <c r="B17" s="14"/>
      <c r="C17" s="14"/>
      <c r="D17" s="14"/>
      <c r="E17" s="14"/>
      <c r="F17" s="14"/>
      <c r="G17" s="31"/>
    </row>
    <row r="18" spans="1:7">
      <c r="A18" s="14"/>
      <c r="B18" s="14"/>
      <c r="C18" s="14"/>
      <c r="D18" s="14"/>
      <c r="E18" s="14"/>
      <c r="F18" s="14"/>
      <c r="G18" s="31"/>
    </row>
    <row r="19" spans="1:7">
      <c r="A19" s="14"/>
      <c r="B19" s="14"/>
      <c r="C19" s="14"/>
      <c r="D19" s="14"/>
      <c r="E19" s="14"/>
      <c r="F19" s="14"/>
      <c r="G19" s="31"/>
    </row>
    <row r="20" spans="1:7">
      <c r="A20" s="14"/>
      <c r="B20" s="14"/>
      <c r="C20" s="14"/>
      <c r="D20" s="14"/>
      <c r="E20" s="14"/>
      <c r="F20" s="14"/>
      <c r="G20" s="31"/>
    </row>
    <row r="21" spans="1:7">
      <c r="A21" s="14"/>
      <c r="B21" s="14"/>
      <c r="C21" s="14"/>
      <c r="D21" s="14"/>
      <c r="E21" s="14"/>
      <c r="F21" s="14"/>
      <c r="G21" s="31"/>
    </row>
    <row r="22" spans="1:7">
      <c r="A22" s="14"/>
      <c r="B22" s="14"/>
      <c r="C22" s="14"/>
      <c r="D22" s="14"/>
      <c r="E22" s="14"/>
      <c r="F22" s="14"/>
      <c r="G22" s="31"/>
    </row>
    <row r="23" spans="1:7">
      <c r="A23" s="14"/>
      <c r="B23" s="14"/>
      <c r="C23" s="14"/>
      <c r="D23" s="14"/>
      <c r="E23" s="14"/>
      <c r="F23" s="14"/>
      <c r="G23" s="31"/>
    </row>
    <row r="24" spans="1:7">
      <c r="A24" s="14"/>
      <c r="B24" s="14"/>
      <c r="C24" s="14"/>
      <c r="D24" s="14"/>
      <c r="E24" s="14"/>
      <c r="F24" s="14"/>
      <c r="G24" s="31"/>
    </row>
    <row r="25" spans="1:7">
      <c r="A25" s="14"/>
      <c r="B25" s="14"/>
      <c r="C25" s="14"/>
      <c r="D25" s="14"/>
      <c r="E25" s="14"/>
      <c r="F25" s="14"/>
      <c r="G25" s="31"/>
    </row>
    <row r="26" spans="1:7">
      <c r="A26" s="14"/>
      <c r="B26" s="14"/>
      <c r="C26" s="14"/>
      <c r="D26" s="14"/>
      <c r="E26" s="14"/>
      <c r="F26" s="14"/>
      <c r="G26" s="31"/>
    </row>
    <row r="27" spans="1:7">
      <c r="A27" s="14"/>
      <c r="B27" s="14"/>
      <c r="C27" s="14"/>
      <c r="D27" s="14"/>
      <c r="E27" s="14"/>
      <c r="F27" s="14"/>
      <c r="G27" s="31"/>
    </row>
    <row r="28" spans="1:7">
      <c r="A28" s="14"/>
      <c r="B28" s="14"/>
      <c r="C28" s="14"/>
      <c r="D28" s="14"/>
      <c r="E28" s="14"/>
      <c r="F28" s="14"/>
      <c r="G28" s="31"/>
    </row>
    <row r="29" spans="1:7">
      <c r="A29" s="14"/>
      <c r="B29" s="14"/>
      <c r="C29" s="14"/>
      <c r="D29" s="14"/>
      <c r="E29" s="14"/>
      <c r="F29" s="14"/>
      <c r="G29" s="31"/>
    </row>
    <row r="30" spans="1:7">
      <c r="A30" s="14"/>
      <c r="B30" s="14"/>
      <c r="C30" s="14"/>
      <c r="D30" s="14"/>
      <c r="E30" s="14"/>
      <c r="F30" s="14"/>
      <c r="G30" s="31"/>
    </row>
    <row r="31" spans="1:7">
      <c r="A31" s="14"/>
      <c r="B31" s="14"/>
      <c r="C31" s="14"/>
      <c r="D31" s="14"/>
      <c r="E31" s="14"/>
      <c r="F31" s="14"/>
      <c r="G31" s="31"/>
    </row>
    <row r="32" spans="1:7">
      <c r="A32" s="14"/>
      <c r="B32" s="14"/>
      <c r="C32" s="14"/>
      <c r="D32" s="14"/>
      <c r="E32" s="14"/>
      <c r="F32" s="14"/>
      <c r="G32" s="31"/>
    </row>
    <row r="33" spans="1:7">
      <c r="A33" s="14"/>
      <c r="B33" s="14"/>
      <c r="C33" s="14"/>
      <c r="D33" s="14"/>
      <c r="E33" s="14"/>
      <c r="F33" s="14"/>
      <c r="G33" s="31"/>
    </row>
    <row r="34" spans="1:7">
      <c r="A34" s="14"/>
      <c r="B34" s="14"/>
      <c r="C34" s="14"/>
      <c r="D34" s="14"/>
      <c r="E34" s="14"/>
      <c r="F34" s="14"/>
      <c r="G34" s="31"/>
    </row>
    <row r="35" spans="1:7">
      <c r="A35" s="14"/>
      <c r="B35" s="14"/>
      <c r="C35" s="14"/>
      <c r="D35" s="14"/>
      <c r="E35" s="14"/>
      <c r="F35" s="14"/>
      <c r="G35" s="31"/>
    </row>
    <row r="36" spans="1:7">
      <c r="A36" s="14"/>
      <c r="B36" s="14"/>
      <c r="C36" s="14"/>
      <c r="D36" s="14"/>
      <c r="E36" s="14"/>
      <c r="F36" s="14"/>
      <c r="G36" s="31"/>
    </row>
    <row r="37" spans="1:7">
      <c r="A37" s="14"/>
      <c r="B37" s="14"/>
      <c r="C37" s="14"/>
      <c r="D37" s="14"/>
      <c r="E37" s="14"/>
      <c r="F37" s="14"/>
      <c r="G37" s="31"/>
    </row>
    <row r="38" spans="1:7">
      <c r="A38" s="14"/>
      <c r="B38" s="14"/>
      <c r="C38" s="14"/>
      <c r="D38" s="14"/>
      <c r="E38" s="14"/>
      <c r="F38" s="14"/>
      <c r="G38" s="31"/>
    </row>
    <row r="39" spans="1:7">
      <c r="A39" s="14"/>
      <c r="B39" s="14"/>
      <c r="C39" s="14"/>
      <c r="D39" s="14"/>
      <c r="E39" s="14"/>
      <c r="F39" s="14"/>
      <c r="G39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7109375" defaultRowHeight="15"/>
  <cols>
    <col min="1" max="5" width="26" customWidth="1"/>
  </cols>
  <sheetData>
    <row r="1" spans="1:5">
      <c r="A1" s="32" t="s">
        <v>16</v>
      </c>
      <c r="B1" s="32" t="s">
        <v>56</v>
      </c>
      <c r="C1" s="32" t="s">
        <v>61</v>
      </c>
      <c r="D1" s="32" t="s">
        <v>34</v>
      </c>
      <c r="E1" s="32" t="s">
        <v>217</v>
      </c>
    </row>
    <row r="2" spans="1:5">
      <c r="A2" s="33" t="s">
        <v>288</v>
      </c>
      <c r="B2" s="33" t="s">
        <v>70</v>
      </c>
      <c r="C2" s="33" t="s">
        <v>194</v>
      </c>
      <c r="D2" s="33" t="s">
        <v>75</v>
      </c>
      <c r="E2" s="33" t="s">
        <v>303</v>
      </c>
    </row>
    <row r="3" spans="1:5">
      <c r="A3" s="33" t="s">
        <v>289</v>
      </c>
      <c r="B3" s="33" t="s">
        <v>304</v>
      </c>
      <c r="C3" s="33" t="s">
        <v>305</v>
      </c>
      <c r="D3" s="33" t="s">
        <v>306</v>
      </c>
      <c r="E3" s="33" t="s">
        <v>230</v>
      </c>
    </row>
    <row r="4" spans="1:5">
      <c r="A4" s="33" t="s">
        <v>290</v>
      </c>
      <c r="B4" s="33" t="s">
        <v>307</v>
      </c>
      <c r="C4" s="33" t="s">
        <v>308</v>
      </c>
      <c r="D4" s="33" t="s">
        <v>309</v>
      </c>
      <c r="E4" s="33" t="s">
        <v>222</v>
      </c>
    </row>
    <row r="5" spans="1:5">
      <c r="A5" s="33" t="s">
        <v>199</v>
      </c>
      <c r="B5" s="33" t="s">
        <v>310</v>
      </c>
      <c r="C5" s="33" t="s">
        <v>311</v>
      </c>
      <c r="D5" s="33" t="s">
        <v>312</v>
      </c>
      <c r="E5" s="33" t="s">
        <v>313</v>
      </c>
    </row>
    <row r="6" spans="1:5">
      <c r="A6" s="33" t="s">
        <v>187</v>
      </c>
      <c r="B6" s="33" t="s">
        <v>314</v>
      </c>
      <c r="D6" s="33" t="s">
        <v>315</v>
      </c>
      <c r="E6" s="33" t="s">
        <v>227</v>
      </c>
    </row>
    <row r="7" spans="1:5">
      <c r="A7" s="33" t="s">
        <v>291</v>
      </c>
      <c r="B7" s="33" t="s">
        <v>316</v>
      </c>
      <c r="D7" s="33" t="s">
        <v>317</v>
      </c>
      <c r="E7" s="33" t="s">
        <v>242</v>
      </c>
    </row>
    <row r="8" spans="1:5">
      <c r="B8" s="33" t="s">
        <v>318</v>
      </c>
      <c r="E8" s="33" t="s">
        <v>319</v>
      </c>
    </row>
    <row r="9" spans="1:5">
      <c r="B9" s="33" t="s">
        <v>133</v>
      </c>
      <c r="E9" s="33" t="s">
        <v>237</v>
      </c>
    </row>
    <row r="10" spans="1:5">
      <c r="B10" s="33" t="s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4d62e4-d042-45af-bac3-be1eaf61e9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7B833D07CD96449EB6ED4C26C1F02E" ma:contentTypeVersion="16" ma:contentTypeDescription="Crear nuevo documento." ma:contentTypeScope="" ma:versionID="a0c16f7180f0464765edcdf014346313">
  <xsd:schema xmlns:xsd="http://www.w3.org/2001/XMLSchema" xmlns:xs="http://www.w3.org/2001/XMLSchema" xmlns:p="http://schemas.microsoft.com/office/2006/metadata/properties" xmlns:ns3="254d62e4-d042-45af-bac3-be1eaf61e90f" xmlns:ns4="2bfc919b-ae4e-4e59-85b7-83f87a0c2c3c" targetNamespace="http://schemas.microsoft.com/office/2006/metadata/properties" ma:root="true" ma:fieldsID="3ad1bdef20d71ad2a4b9719f193dbded" ns3:_="" ns4:_="">
    <xsd:import namespace="254d62e4-d042-45af-bac3-be1eaf61e90f"/>
    <xsd:import namespace="2bfc919b-ae4e-4e59-85b7-83f87a0c2c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d62e4-d042-45af-bac3-be1eaf61e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c919b-ae4e-4e59-85b7-83f87a0c2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35E82-5608-468F-8C57-70BFD77937A3}"/>
</file>

<file path=customXml/itemProps2.xml><?xml version="1.0" encoding="utf-8"?>
<ds:datastoreItem xmlns:ds="http://schemas.openxmlformats.org/officeDocument/2006/customXml" ds:itemID="{D9234340-7D36-40A2-9403-B40080D53F54}"/>
</file>

<file path=customXml/itemProps3.xml><?xml version="1.0" encoding="utf-8"?>
<ds:datastoreItem xmlns:ds="http://schemas.openxmlformats.org/officeDocument/2006/customXml" ds:itemID="{D0B98356-57FD-4991-8649-8C69C4CE1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2026-09-25T02:41:15Z</dcterms:created>
  <dcterms:modified xsi:type="dcterms:W3CDTF">2026-09-29T20:56:12Z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0x010100017B833D07CD96449EB6ED4C26C1F02E</vt:lpwstr>
  </property>
</Properties>
</file>